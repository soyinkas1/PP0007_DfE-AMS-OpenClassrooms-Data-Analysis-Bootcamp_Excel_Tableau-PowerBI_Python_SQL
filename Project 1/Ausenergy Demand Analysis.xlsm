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6f93fc8970d2d55/Documents/PERSONAL/PERSONAL DEVELOPMENT/DATA SCIENCE/OpenClassroom Bootcamp/BOOTCAMP/Project 1/"/>
    </mc:Choice>
  </mc:AlternateContent>
  <xr:revisionPtr revIDLastSave="0" documentId="8_{459C25EC-CBE0-42E4-B1E4-751519BCF439}" xr6:coauthVersionLast="47" xr6:coauthVersionMax="47" xr10:uidLastSave="{00000000-0000-0000-0000-000000000000}"/>
  <bookViews>
    <workbookView xWindow="-98" yWindow="-98" windowWidth="24196" windowHeight="13096"/>
  </bookViews>
  <sheets>
    <sheet name="EnergyDemand" sheetId="1" r:id="rId1"/>
    <sheet name="Holidays" sheetId="2" r:id="rId2"/>
  </sheets>
  <calcPr calcId="0" iterateDelta="9.9999999999994451E-4"/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" i="1"/>
</calcChain>
</file>

<file path=xl/sharedStrings.xml><?xml version="1.0" encoding="utf-8"?>
<sst xmlns="http://schemas.openxmlformats.org/spreadsheetml/2006/main" count="4224" uniqueCount="11">
  <si>
    <t>date</t>
  </si>
  <si>
    <t>demand</t>
  </si>
  <si>
    <t>RRP</t>
  </si>
  <si>
    <t>min_temperature</t>
  </si>
  <si>
    <t>max_temperature</t>
  </si>
  <si>
    <t>solar_exposure</t>
  </si>
  <si>
    <t>rainfall</t>
  </si>
  <si>
    <t>school_day</t>
  </si>
  <si>
    <t>holiday</t>
  </si>
  <si>
    <t>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</si>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</sst>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I2107" totalsRowShown="0">
  <autoFilter ref="A1:I2107"/>
  <tableColumns count="9">
    <tableColumn id="1" name="date" dataDxfId="6"/>
    <tableColumn id="2" name="demand"/>
    <tableColumn id="3" name="RRP"/>
    <tableColumn id="4" name="min_temperature" dataDxfId="5"/>
    <tableColumn id="5" name="max_temperature" dataDxfId="4"/>
    <tableColumn id="6" name="solar_exposure" dataDxfId="3"/>
    <tableColumn id="7" name="rainfall" dataDxfId="2"/>
    <tableColumn id="8" name="school_day" dataDxfId="1">
      <calculatedColumnFormula>VLOOKUP(A2,Holidays!$A$2:$B$2107,2,1)</calculatedColumnFormula>
    </tableColumn>
    <tableColumn id="9" name="holiday" dataDxfId="0">
      <calculatedColumnFormula>VLOOKUP(A2,Holidays!$A$2:$C$2107,3,1)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07"/>
  <sheetViews>
    <sheetView tabSelected="1" workbookViewId="0">
      <selection activeCell="C1" sqref="C1"/>
    </sheetView>
  </sheetViews>
  <sheetFormatPr defaultRowHeight="14.25" x14ac:dyDescent="0.45"/>
  <cols>
    <col min="1" max="1" width="10.19921875" bestFit="1" customWidth="1"/>
    <col min="2" max="2" width="9.33203125" customWidth="1"/>
    <col min="4" max="4" width="17" style="2" customWidth="1"/>
    <col min="5" max="5" width="17.265625" style="2" customWidth="1"/>
    <col min="6" max="6" width="15" style="2" customWidth="1"/>
    <col min="7" max="7" width="9.06640625" style="2"/>
    <col min="8" max="8" width="12" style="2" customWidth="1"/>
    <col min="9" max="9" width="10.33203125" style="2" customWidth="1"/>
  </cols>
  <sheetData>
    <row r="1" spans="1:9" x14ac:dyDescent="0.45">
      <c r="A1" t="s">
        <v>0</v>
      </c>
      <c r="B1" t="s">
        <v>1</v>
      </c>
      <c r="C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45">
      <c r="A2" s="1">
        <v>42005</v>
      </c>
      <c r="B2">
        <v>99635.03</v>
      </c>
      <c r="C2">
        <v>25.633696430000001</v>
      </c>
      <c r="D2" s="2">
        <v>13.3</v>
      </c>
      <c r="E2" s="2">
        <v>26.9</v>
      </c>
      <c r="F2" s="2">
        <v>23.6</v>
      </c>
      <c r="G2" s="2">
        <v>0</v>
      </c>
      <c r="H2" s="2" t="str">
        <f>VLOOKUP(A2,Holidays!$A$2:$B$2107,2,1)</f>
        <v>N</v>
      </c>
      <c r="I2" s="2" t="str">
        <f>VLOOKUP(A2,Holidays!$A$2:$C$2107,3,1)</f>
        <v>Y</v>
      </c>
    </row>
    <row r="3" spans="1:9" x14ac:dyDescent="0.45">
      <c r="A3" s="1">
        <v>42006</v>
      </c>
      <c r="B3">
        <v>129606.01</v>
      </c>
      <c r="C3">
        <v>33.138987559999997</v>
      </c>
      <c r="D3" s="2">
        <v>15.4</v>
      </c>
      <c r="E3" s="2">
        <v>38.799999999999997</v>
      </c>
      <c r="F3" s="2">
        <v>26.8</v>
      </c>
      <c r="G3" s="2">
        <v>0</v>
      </c>
      <c r="H3" s="2" t="str">
        <f>VLOOKUP(A3,Holidays!$A$2:$B$2107,2,1)</f>
        <v>N</v>
      </c>
      <c r="I3" s="2" t="str">
        <f>VLOOKUP(A3,Holidays!$A$2:$C$2107,3,1)</f>
        <v>N</v>
      </c>
    </row>
    <row r="4" spans="1:9" x14ac:dyDescent="0.45">
      <c r="A4" s="1">
        <v>42007</v>
      </c>
      <c r="B4">
        <v>142300.54</v>
      </c>
      <c r="C4">
        <v>34.564854830000002</v>
      </c>
      <c r="D4" s="2">
        <v>20</v>
      </c>
      <c r="E4" s="2">
        <v>38.200000000000003</v>
      </c>
      <c r="F4" s="2">
        <v>26.5</v>
      </c>
      <c r="G4" s="2">
        <v>0</v>
      </c>
      <c r="H4" s="2" t="str">
        <f>VLOOKUP(A4,Holidays!$A$2:$B$2107,2,1)</f>
        <v>N</v>
      </c>
      <c r="I4" s="2" t="str">
        <f>VLOOKUP(A4,Holidays!$A$2:$C$2107,3,1)</f>
        <v>N</v>
      </c>
    </row>
    <row r="5" spans="1:9" x14ac:dyDescent="0.45">
      <c r="A5" s="1">
        <v>42008</v>
      </c>
      <c r="B5">
        <v>104330.715</v>
      </c>
      <c r="C5">
        <v>25.005560240000001</v>
      </c>
      <c r="D5" s="2">
        <v>16.3</v>
      </c>
      <c r="E5" s="2">
        <v>21.4</v>
      </c>
      <c r="F5" s="2">
        <v>25.2</v>
      </c>
      <c r="G5" s="2">
        <v>4.2</v>
      </c>
      <c r="H5" s="2" t="str">
        <f>VLOOKUP(A5,Holidays!$A$2:$B$2107,2,1)</f>
        <v>N</v>
      </c>
      <c r="I5" s="2" t="str">
        <f>VLOOKUP(A5,Holidays!$A$2:$C$2107,3,1)</f>
        <v>N</v>
      </c>
    </row>
    <row r="6" spans="1:9" x14ac:dyDescent="0.45">
      <c r="A6" s="1">
        <v>42009</v>
      </c>
      <c r="B6">
        <v>118132.2</v>
      </c>
      <c r="C6">
        <v>26.724176279999998</v>
      </c>
      <c r="D6" s="2">
        <v>15</v>
      </c>
      <c r="E6" s="2">
        <v>22</v>
      </c>
      <c r="F6" s="2">
        <v>30.7</v>
      </c>
      <c r="G6" s="2">
        <v>0</v>
      </c>
      <c r="H6" s="2" t="str">
        <f>VLOOKUP(A6,Holidays!$A$2:$B$2107,2,1)</f>
        <v>N</v>
      </c>
      <c r="I6" s="2" t="str">
        <f>VLOOKUP(A6,Holidays!$A$2:$C$2107,3,1)</f>
        <v>N</v>
      </c>
    </row>
    <row r="7" spans="1:9" x14ac:dyDescent="0.45">
      <c r="A7" s="1">
        <v>42010</v>
      </c>
      <c r="B7">
        <v>130672.485</v>
      </c>
      <c r="C7">
        <v>31.282310729999999</v>
      </c>
      <c r="D7" s="2">
        <v>17.7</v>
      </c>
      <c r="E7" s="2">
        <v>26</v>
      </c>
      <c r="F7" s="2">
        <v>31.6</v>
      </c>
      <c r="G7" s="2">
        <v>0</v>
      </c>
      <c r="H7" s="2" t="str">
        <f>VLOOKUP(A7,Holidays!$A$2:$B$2107,2,1)</f>
        <v>N</v>
      </c>
      <c r="I7" s="2" t="str">
        <f>VLOOKUP(A7,Holidays!$A$2:$C$2107,3,1)</f>
        <v>N</v>
      </c>
    </row>
    <row r="8" spans="1:9" x14ac:dyDescent="0.45">
      <c r="A8" s="1">
        <v>42011</v>
      </c>
      <c r="B8">
        <v>153514.82</v>
      </c>
      <c r="C8">
        <v>48.312309380000002</v>
      </c>
      <c r="D8" s="2">
        <v>18.899999999999999</v>
      </c>
      <c r="E8" s="2">
        <v>37.4</v>
      </c>
      <c r="F8" s="2">
        <v>20.7</v>
      </c>
      <c r="G8" s="2">
        <v>0</v>
      </c>
      <c r="H8" s="2" t="str">
        <f>VLOOKUP(A8,Holidays!$A$2:$B$2107,2,1)</f>
        <v>N</v>
      </c>
      <c r="I8" s="2" t="str">
        <f>VLOOKUP(A8,Holidays!$A$2:$C$2107,3,1)</f>
        <v>N</v>
      </c>
    </row>
    <row r="9" spans="1:9" x14ac:dyDescent="0.45">
      <c r="A9" s="1">
        <v>42012</v>
      </c>
      <c r="B9">
        <v>142015.655</v>
      </c>
      <c r="C9">
        <v>49.117280299999997</v>
      </c>
      <c r="D9" s="2">
        <v>23.1</v>
      </c>
      <c r="E9" s="2">
        <v>28.2</v>
      </c>
      <c r="F9" s="2">
        <v>13.5</v>
      </c>
      <c r="G9" s="2">
        <v>19.399999999999999</v>
      </c>
      <c r="H9" s="2" t="str">
        <f>VLOOKUP(A9,Holidays!$A$2:$B$2107,2,1)</f>
        <v>N</v>
      </c>
      <c r="I9" s="2" t="str">
        <f>VLOOKUP(A9,Holidays!$A$2:$C$2107,3,1)</f>
        <v>N</v>
      </c>
    </row>
    <row r="10" spans="1:9" x14ac:dyDescent="0.45">
      <c r="A10" s="1">
        <v>42013</v>
      </c>
      <c r="B10">
        <v>121801.155</v>
      </c>
      <c r="C10">
        <v>34.490675449999998</v>
      </c>
      <c r="D10" s="2">
        <v>16.5</v>
      </c>
      <c r="E10" s="2">
        <v>18</v>
      </c>
      <c r="F10" s="2">
        <v>3.1</v>
      </c>
      <c r="G10" s="2">
        <v>1.2</v>
      </c>
      <c r="H10" s="2" t="str">
        <f>VLOOKUP(A10,Holidays!$A$2:$B$2107,2,1)</f>
        <v>N</v>
      </c>
      <c r="I10" s="2" t="str">
        <f>VLOOKUP(A10,Holidays!$A$2:$C$2107,3,1)</f>
        <v>N</v>
      </c>
    </row>
    <row r="11" spans="1:9" x14ac:dyDescent="0.45">
      <c r="A11" s="1">
        <v>42014</v>
      </c>
      <c r="B11">
        <v>103043.66</v>
      </c>
      <c r="C11">
        <v>20.229824900000001</v>
      </c>
      <c r="D11" s="2">
        <v>13.6</v>
      </c>
      <c r="E11" s="2">
        <v>21.7</v>
      </c>
      <c r="F11" s="2">
        <v>5.6</v>
      </c>
      <c r="G11" s="2">
        <v>5.2</v>
      </c>
      <c r="H11" s="2" t="str">
        <f>VLOOKUP(A11,Holidays!$A$2:$B$2107,2,1)</f>
        <v>N</v>
      </c>
      <c r="I11" s="2" t="str">
        <f>VLOOKUP(A11,Holidays!$A$2:$C$2107,3,1)</f>
        <v>N</v>
      </c>
    </row>
    <row r="12" spans="1:9" x14ac:dyDescent="0.45">
      <c r="A12" s="1">
        <v>42015</v>
      </c>
      <c r="B12">
        <v>99865.755000000005</v>
      </c>
      <c r="C12">
        <v>18.23476806</v>
      </c>
      <c r="D12" s="2">
        <v>15.6</v>
      </c>
      <c r="E12" s="2">
        <v>27.5</v>
      </c>
      <c r="F12" s="2">
        <v>29.9</v>
      </c>
      <c r="G12" s="2">
        <v>0</v>
      </c>
      <c r="H12" s="2" t="str">
        <f>VLOOKUP(A12,Holidays!$A$2:$B$2107,2,1)</f>
        <v>N</v>
      </c>
      <c r="I12" s="2" t="str">
        <f>VLOOKUP(A12,Holidays!$A$2:$C$2107,3,1)</f>
        <v>N</v>
      </c>
    </row>
    <row r="13" spans="1:9" x14ac:dyDescent="0.45">
      <c r="A13" s="1">
        <v>42016</v>
      </c>
      <c r="B13">
        <v>131261.125</v>
      </c>
      <c r="C13">
        <v>33.694810169999997</v>
      </c>
      <c r="D13" s="2">
        <v>16.100000000000001</v>
      </c>
      <c r="E13" s="2">
        <v>31.3</v>
      </c>
      <c r="F13" s="2">
        <v>31.6</v>
      </c>
      <c r="G13" s="2">
        <v>0</v>
      </c>
      <c r="H13" s="2" t="str">
        <f>VLOOKUP(A13,Holidays!$A$2:$B$2107,2,1)</f>
        <v>N</v>
      </c>
      <c r="I13" s="2" t="str">
        <f>VLOOKUP(A13,Holidays!$A$2:$C$2107,3,1)</f>
        <v>N</v>
      </c>
    </row>
    <row r="14" spans="1:9" x14ac:dyDescent="0.45">
      <c r="A14" s="1">
        <v>42017</v>
      </c>
      <c r="B14">
        <v>126527.36</v>
      </c>
      <c r="C14">
        <v>27.53786427</v>
      </c>
      <c r="D14" s="2">
        <v>20.2</v>
      </c>
      <c r="E14" s="2">
        <v>25.6</v>
      </c>
      <c r="F14" s="2">
        <v>4.2</v>
      </c>
      <c r="G14" s="2">
        <v>0</v>
      </c>
      <c r="H14" s="2" t="str">
        <f>VLOOKUP(A14,Holidays!$A$2:$B$2107,2,1)</f>
        <v>N</v>
      </c>
      <c r="I14" s="2" t="str">
        <f>VLOOKUP(A14,Holidays!$A$2:$C$2107,3,1)</f>
        <v>N</v>
      </c>
    </row>
    <row r="15" spans="1:9" x14ac:dyDescent="0.45">
      <c r="A15" s="1">
        <v>42018</v>
      </c>
      <c r="B15">
        <v>119741.62</v>
      </c>
      <c r="C15">
        <v>29.018516609999999</v>
      </c>
      <c r="D15" s="2">
        <v>18.3</v>
      </c>
      <c r="E15" s="2">
        <v>22.7</v>
      </c>
      <c r="F15" s="2">
        <v>15.2</v>
      </c>
      <c r="G15" s="2">
        <v>15.8</v>
      </c>
      <c r="H15" s="2" t="str">
        <f>VLOOKUP(A15,Holidays!$A$2:$B$2107,2,1)</f>
        <v>N</v>
      </c>
      <c r="I15" s="2" t="str">
        <f>VLOOKUP(A15,Holidays!$A$2:$C$2107,3,1)</f>
        <v>N</v>
      </c>
    </row>
    <row r="16" spans="1:9" x14ac:dyDescent="0.45">
      <c r="A16" s="1">
        <v>42019</v>
      </c>
      <c r="B16">
        <v>118411.22</v>
      </c>
      <c r="C16">
        <v>30.93653879</v>
      </c>
      <c r="D16" s="2">
        <v>15.8</v>
      </c>
      <c r="E16" s="2">
        <v>20</v>
      </c>
      <c r="F16" s="2">
        <v>14.6</v>
      </c>
      <c r="G16" s="2">
        <v>0</v>
      </c>
      <c r="H16" s="2" t="str">
        <f>VLOOKUP(A16,Holidays!$A$2:$B$2107,2,1)</f>
        <v>N</v>
      </c>
      <c r="I16" s="2" t="str">
        <f>VLOOKUP(A16,Holidays!$A$2:$C$2107,3,1)</f>
        <v>N</v>
      </c>
    </row>
    <row r="17" spans="1:9" x14ac:dyDescent="0.45">
      <c r="A17" s="1">
        <v>42020</v>
      </c>
      <c r="B17">
        <v>116690.765</v>
      </c>
      <c r="C17">
        <v>23.015190879999999</v>
      </c>
      <c r="D17" s="2">
        <v>13.1</v>
      </c>
      <c r="E17" s="2">
        <v>27.3</v>
      </c>
      <c r="F17" s="2">
        <v>30.3</v>
      </c>
      <c r="G17" s="2">
        <v>0</v>
      </c>
      <c r="H17" s="2" t="str">
        <f>VLOOKUP(A17,Holidays!$A$2:$B$2107,2,1)</f>
        <v>N</v>
      </c>
      <c r="I17" s="2" t="str">
        <f>VLOOKUP(A17,Holidays!$A$2:$C$2107,3,1)</f>
        <v>N</v>
      </c>
    </row>
    <row r="18" spans="1:9" x14ac:dyDescent="0.45">
      <c r="A18" s="1">
        <v>42021</v>
      </c>
      <c r="B18">
        <v>99371.31</v>
      </c>
      <c r="C18">
        <v>18.99492729</v>
      </c>
      <c r="D18" s="2">
        <v>15.9</v>
      </c>
      <c r="E18" s="2">
        <v>25</v>
      </c>
      <c r="F18" s="2">
        <v>27.5</v>
      </c>
      <c r="G18" s="2">
        <v>0</v>
      </c>
      <c r="H18" s="2" t="str">
        <f>VLOOKUP(A18,Holidays!$A$2:$B$2107,2,1)</f>
        <v>N</v>
      </c>
      <c r="I18" s="2" t="str">
        <f>VLOOKUP(A18,Holidays!$A$2:$C$2107,3,1)</f>
        <v>N</v>
      </c>
    </row>
    <row r="19" spans="1:9" x14ac:dyDescent="0.45">
      <c r="A19" s="1">
        <v>42022</v>
      </c>
      <c r="B19">
        <v>97728.75</v>
      </c>
      <c r="C19">
        <v>17.00868088</v>
      </c>
      <c r="D19" s="2">
        <v>15.3</v>
      </c>
      <c r="E19" s="2">
        <v>19.5</v>
      </c>
      <c r="F19" s="2">
        <v>23.4</v>
      </c>
      <c r="G19" s="2">
        <v>0</v>
      </c>
      <c r="H19" s="2" t="str">
        <f>VLOOKUP(A19,Holidays!$A$2:$B$2107,2,1)</f>
        <v>N</v>
      </c>
      <c r="I19" s="2" t="str">
        <f>VLOOKUP(A19,Holidays!$A$2:$C$2107,3,1)</f>
        <v>N</v>
      </c>
    </row>
    <row r="20" spans="1:9" x14ac:dyDescent="0.45">
      <c r="A20" s="1">
        <v>42023</v>
      </c>
      <c r="B20">
        <v>116883.15</v>
      </c>
      <c r="C20">
        <v>26.927876189999999</v>
      </c>
      <c r="D20" s="2">
        <v>13.5</v>
      </c>
      <c r="E20" s="2">
        <v>23.6</v>
      </c>
      <c r="F20" s="2">
        <v>29</v>
      </c>
      <c r="G20" s="2">
        <v>0</v>
      </c>
      <c r="H20" s="2" t="str">
        <f>VLOOKUP(A20,Holidays!$A$2:$B$2107,2,1)</f>
        <v>N</v>
      </c>
      <c r="I20" s="2" t="str">
        <f>VLOOKUP(A20,Holidays!$A$2:$C$2107,3,1)</f>
        <v>N</v>
      </c>
    </row>
    <row r="21" spans="1:9" x14ac:dyDescent="0.45">
      <c r="A21" s="1">
        <v>42024</v>
      </c>
      <c r="B21">
        <v>128968.125</v>
      </c>
      <c r="C21">
        <v>23.078074139999998</v>
      </c>
      <c r="D21" s="2">
        <v>13</v>
      </c>
      <c r="E21" s="2">
        <v>30.4</v>
      </c>
      <c r="F21" s="2">
        <v>19.600000000000001</v>
      </c>
      <c r="G21" s="2">
        <v>0</v>
      </c>
      <c r="H21" s="2" t="str">
        <f>VLOOKUP(A21,Holidays!$A$2:$B$2107,2,1)</f>
        <v>N</v>
      </c>
      <c r="I21" s="2" t="str">
        <f>VLOOKUP(A21,Holidays!$A$2:$C$2107,3,1)</f>
        <v>N</v>
      </c>
    </row>
    <row r="22" spans="1:9" x14ac:dyDescent="0.45">
      <c r="A22" s="1">
        <v>42025</v>
      </c>
      <c r="B22">
        <v>148702.505</v>
      </c>
      <c r="C22">
        <v>34.443415459999997</v>
      </c>
      <c r="D22" s="2">
        <v>19.7</v>
      </c>
      <c r="E22" s="2">
        <v>33.1</v>
      </c>
      <c r="F22" s="2">
        <v>25.8</v>
      </c>
      <c r="G22" s="2">
        <v>0</v>
      </c>
      <c r="H22" s="2" t="str">
        <f>VLOOKUP(A22,Holidays!$A$2:$B$2107,2,1)</f>
        <v>N</v>
      </c>
      <c r="I22" s="2" t="str">
        <f>VLOOKUP(A22,Holidays!$A$2:$C$2107,3,1)</f>
        <v>N</v>
      </c>
    </row>
    <row r="23" spans="1:9" x14ac:dyDescent="0.45">
      <c r="A23" s="1">
        <v>42026</v>
      </c>
      <c r="B23">
        <v>153232.1</v>
      </c>
      <c r="C23">
        <v>35.230761399999999</v>
      </c>
      <c r="D23" s="2">
        <v>18.7</v>
      </c>
      <c r="E23" s="2">
        <v>35.799999999999997</v>
      </c>
      <c r="F23" s="2">
        <v>23.1</v>
      </c>
      <c r="G23" s="2">
        <v>0</v>
      </c>
      <c r="H23" s="2" t="str">
        <f>VLOOKUP(A23,Holidays!$A$2:$B$2107,2,1)</f>
        <v>N</v>
      </c>
      <c r="I23" s="2" t="str">
        <f>VLOOKUP(A23,Holidays!$A$2:$C$2107,3,1)</f>
        <v>N</v>
      </c>
    </row>
    <row r="24" spans="1:9" x14ac:dyDescent="0.45">
      <c r="A24" s="1">
        <v>42027</v>
      </c>
      <c r="B24">
        <v>138095.20000000001</v>
      </c>
      <c r="C24">
        <v>40.604200220000003</v>
      </c>
      <c r="D24" s="2">
        <v>20.2</v>
      </c>
      <c r="E24" s="2">
        <v>25</v>
      </c>
      <c r="F24" s="2">
        <v>28.6</v>
      </c>
      <c r="G24" s="2">
        <v>0</v>
      </c>
      <c r="H24" s="2" t="str">
        <f>VLOOKUP(A24,Holidays!$A$2:$B$2107,2,1)</f>
        <v>N</v>
      </c>
      <c r="I24" s="2" t="str">
        <f>VLOOKUP(A24,Holidays!$A$2:$C$2107,3,1)</f>
        <v>N</v>
      </c>
    </row>
    <row r="25" spans="1:9" x14ac:dyDescent="0.45">
      <c r="A25" s="1">
        <v>42028</v>
      </c>
      <c r="B25">
        <v>116310.59</v>
      </c>
      <c r="C25">
        <v>20.922000149999999</v>
      </c>
      <c r="D25" s="2">
        <v>15.8</v>
      </c>
      <c r="E25" s="2">
        <v>26.3</v>
      </c>
      <c r="F25" s="2">
        <v>30.3</v>
      </c>
      <c r="G25" s="2">
        <v>0</v>
      </c>
      <c r="H25" s="2" t="str">
        <f>VLOOKUP(A25,Holidays!$A$2:$B$2107,2,1)</f>
        <v>N</v>
      </c>
      <c r="I25" s="2" t="str">
        <f>VLOOKUP(A25,Holidays!$A$2:$C$2107,3,1)</f>
        <v>N</v>
      </c>
    </row>
    <row r="26" spans="1:9" x14ac:dyDescent="0.45">
      <c r="A26" s="1">
        <v>42029</v>
      </c>
      <c r="B26">
        <v>97959.46</v>
      </c>
      <c r="C26">
        <v>16.5414177</v>
      </c>
      <c r="D26" s="2">
        <v>14.7</v>
      </c>
      <c r="E26" s="2">
        <v>22</v>
      </c>
      <c r="F26" s="2">
        <v>25.4</v>
      </c>
      <c r="G26" s="2">
        <v>0</v>
      </c>
      <c r="H26" s="2" t="str">
        <f>VLOOKUP(A26,Holidays!$A$2:$B$2107,2,1)</f>
        <v>N</v>
      </c>
      <c r="I26" s="2" t="str">
        <f>VLOOKUP(A26,Holidays!$A$2:$C$2107,3,1)</f>
        <v>N</v>
      </c>
    </row>
    <row r="27" spans="1:9" x14ac:dyDescent="0.45">
      <c r="A27" s="1">
        <v>42030</v>
      </c>
      <c r="B27">
        <v>103769.48</v>
      </c>
      <c r="C27">
        <v>16.9360128</v>
      </c>
      <c r="D27" s="2">
        <v>11.6</v>
      </c>
      <c r="E27" s="2">
        <v>19.8</v>
      </c>
      <c r="F27" s="2">
        <v>19.899999999999999</v>
      </c>
      <c r="G27" s="2">
        <v>1</v>
      </c>
      <c r="H27" s="2" t="str">
        <f>VLOOKUP(A27,Holidays!$A$2:$B$2107,2,1)</f>
        <v>N</v>
      </c>
      <c r="I27" s="2" t="str">
        <f>VLOOKUP(A27,Holidays!$A$2:$C$2107,3,1)</f>
        <v>Y</v>
      </c>
    </row>
    <row r="28" spans="1:9" x14ac:dyDescent="0.45">
      <c r="A28" s="1">
        <v>42031</v>
      </c>
      <c r="B28">
        <v>118393.31</v>
      </c>
      <c r="C28">
        <v>21.206288600000001</v>
      </c>
      <c r="D28" s="2">
        <v>11.7</v>
      </c>
      <c r="E28" s="2">
        <v>19.100000000000001</v>
      </c>
      <c r="F28" s="2">
        <v>17.7</v>
      </c>
      <c r="G28" s="2">
        <v>0.6</v>
      </c>
      <c r="H28" s="2" t="str">
        <f>VLOOKUP(A28,Holidays!$A$2:$B$2107,2,1)</f>
        <v>N</v>
      </c>
      <c r="I28" s="2" t="str">
        <f>VLOOKUP(A28,Holidays!$A$2:$C$2107,3,1)</f>
        <v>N</v>
      </c>
    </row>
    <row r="29" spans="1:9" x14ac:dyDescent="0.45">
      <c r="A29" s="1">
        <v>42032</v>
      </c>
      <c r="B29">
        <v>116763.72500000001</v>
      </c>
      <c r="C29">
        <v>17.02383824</v>
      </c>
      <c r="D29" s="2">
        <v>13.3</v>
      </c>
      <c r="E29" s="2">
        <v>25.4</v>
      </c>
      <c r="F29" s="2">
        <v>27</v>
      </c>
      <c r="G29" s="2">
        <v>0</v>
      </c>
      <c r="H29" s="2" t="str">
        <f>VLOOKUP(A29,Holidays!$A$2:$B$2107,2,1)</f>
        <v>N</v>
      </c>
      <c r="I29" s="2" t="str">
        <f>VLOOKUP(A29,Holidays!$A$2:$C$2107,3,1)</f>
        <v>N</v>
      </c>
    </row>
    <row r="30" spans="1:9" x14ac:dyDescent="0.45">
      <c r="A30" s="1">
        <v>42033</v>
      </c>
      <c r="B30">
        <v>119313.73</v>
      </c>
      <c r="C30">
        <v>19.624827360000001</v>
      </c>
      <c r="D30" s="2">
        <v>12.8</v>
      </c>
      <c r="E30" s="2">
        <v>22.2</v>
      </c>
      <c r="F30" s="2">
        <v>28.9</v>
      </c>
      <c r="G30" s="2">
        <v>0</v>
      </c>
      <c r="H30" s="2" t="str">
        <f>VLOOKUP(A30,Holidays!$A$2:$B$2107,2,1)</f>
        <v>Y</v>
      </c>
      <c r="I30" s="2" t="str">
        <f>VLOOKUP(A30,Holidays!$A$2:$C$2107,3,1)</f>
        <v>N</v>
      </c>
    </row>
    <row r="31" spans="1:9" x14ac:dyDescent="0.45">
      <c r="A31" s="1">
        <v>42034</v>
      </c>
      <c r="B31">
        <v>121018.15</v>
      </c>
      <c r="C31">
        <v>21.029356079999999</v>
      </c>
      <c r="D31" s="2">
        <v>13.1</v>
      </c>
      <c r="E31" s="2">
        <v>21</v>
      </c>
      <c r="F31" s="2">
        <v>27.6</v>
      </c>
      <c r="G31" s="2">
        <v>0</v>
      </c>
      <c r="H31" s="2" t="str">
        <f>VLOOKUP(A31,Holidays!$A$2:$B$2107,2,1)</f>
        <v>Y</v>
      </c>
      <c r="I31" s="2" t="str">
        <f>VLOOKUP(A31,Holidays!$A$2:$C$2107,3,1)</f>
        <v>N</v>
      </c>
    </row>
    <row r="32" spans="1:9" x14ac:dyDescent="0.45">
      <c r="A32" s="1">
        <v>42035</v>
      </c>
      <c r="B32">
        <v>103822.97</v>
      </c>
      <c r="C32">
        <v>16.538846729999999</v>
      </c>
      <c r="D32" s="2">
        <v>14.3</v>
      </c>
      <c r="E32" s="2">
        <v>20.2</v>
      </c>
      <c r="F32" s="2">
        <v>26.2</v>
      </c>
      <c r="G32" s="2">
        <v>0</v>
      </c>
      <c r="H32" s="2" t="str">
        <f>VLOOKUP(A32,Holidays!$A$2:$B$2107,2,1)</f>
        <v>Y</v>
      </c>
      <c r="I32" s="2" t="str">
        <f>VLOOKUP(A32,Holidays!$A$2:$C$2107,3,1)</f>
        <v>N</v>
      </c>
    </row>
    <row r="33" spans="1:9" x14ac:dyDescent="0.45">
      <c r="A33" s="1">
        <v>42036</v>
      </c>
      <c r="B33">
        <v>100178.84</v>
      </c>
      <c r="C33">
        <v>14.578844419999999</v>
      </c>
      <c r="D33" s="2">
        <v>13.2</v>
      </c>
      <c r="E33" s="2">
        <v>19</v>
      </c>
      <c r="F33" s="2">
        <v>17.3</v>
      </c>
      <c r="G33" s="2">
        <v>9.1999999999999993</v>
      </c>
      <c r="H33" s="2" t="str">
        <f>VLOOKUP(A33,Holidays!$A$2:$B$2107,2,1)</f>
        <v>Y</v>
      </c>
      <c r="I33" s="2" t="str">
        <f>VLOOKUP(A33,Holidays!$A$2:$C$2107,3,1)</f>
        <v>N</v>
      </c>
    </row>
    <row r="34" spans="1:9" x14ac:dyDescent="0.45">
      <c r="A34" s="1">
        <v>42037</v>
      </c>
      <c r="B34">
        <v>118694.16</v>
      </c>
      <c r="C34">
        <v>22.270032189999998</v>
      </c>
      <c r="D34" s="2">
        <v>13.5</v>
      </c>
      <c r="E34" s="2">
        <v>21.1</v>
      </c>
      <c r="F34" s="2">
        <v>23.9</v>
      </c>
      <c r="G34" s="2">
        <v>3.8</v>
      </c>
      <c r="H34" s="2" t="str">
        <f>VLOOKUP(A34,Holidays!$A$2:$B$2107,2,1)</f>
        <v>Y</v>
      </c>
      <c r="I34" s="2" t="str">
        <f>VLOOKUP(A34,Holidays!$A$2:$C$2107,3,1)</f>
        <v>N</v>
      </c>
    </row>
    <row r="35" spans="1:9" x14ac:dyDescent="0.45">
      <c r="A35" s="1">
        <v>42038</v>
      </c>
      <c r="B35">
        <v>122880.13</v>
      </c>
      <c r="C35">
        <v>27.003832330000002</v>
      </c>
      <c r="D35" s="2">
        <v>16.100000000000001</v>
      </c>
      <c r="E35" s="2">
        <v>20</v>
      </c>
      <c r="F35" s="2">
        <v>22.7</v>
      </c>
      <c r="G35" s="2">
        <v>0</v>
      </c>
      <c r="H35" s="2" t="str">
        <f>VLOOKUP(A35,Holidays!$A$2:$B$2107,2,1)</f>
        <v>Y</v>
      </c>
      <c r="I35" s="2" t="str">
        <f>VLOOKUP(A35,Holidays!$A$2:$C$2107,3,1)</f>
        <v>N</v>
      </c>
    </row>
    <row r="36" spans="1:9" x14ac:dyDescent="0.45">
      <c r="A36" s="1">
        <v>42039</v>
      </c>
      <c r="B36">
        <v>117398.03</v>
      </c>
      <c r="C36">
        <v>27.809134199999999</v>
      </c>
      <c r="D36" s="2">
        <v>14.8</v>
      </c>
      <c r="E36" s="2">
        <v>19</v>
      </c>
      <c r="F36" s="2">
        <v>21.2</v>
      </c>
      <c r="G36" s="2">
        <v>0</v>
      </c>
      <c r="H36" s="2" t="str">
        <f>VLOOKUP(A36,Holidays!$A$2:$B$2107,2,1)</f>
        <v>Y</v>
      </c>
      <c r="I36" s="2" t="str">
        <f>VLOOKUP(A36,Holidays!$A$2:$C$2107,3,1)</f>
        <v>N</v>
      </c>
    </row>
    <row r="37" spans="1:9" x14ac:dyDescent="0.45">
      <c r="A37" s="1">
        <v>42040</v>
      </c>
      <c r="B37">
        <v>122279.425</v>
      </c>
      <c r="C37">
        <v>31.384570740000001</v>
      </c>
      <c r="D37" s="2">
        <v>13.3</v>
      </c>
      <c r="E37" s="2">
        <v>24.2</v>
      </c>
      <c r="F37" s="2">
        <v>28.8</v>
      </c>
      <c r="G37" s="2">
        <v>0</v>
      </c>
      <c r="H37" s="2" t="str">
        <f>VLOOKUP(A37,Holidays!$A$2:$B$2107,2,1)</f>
        <v>Y</v>
      </c>
      <c r="I37" s="2" t="str">
        <f>VLOOKUP(A37,Holidays!$A$2:$C$2107,3,1)</f>
        <v>N</v>
      </c>
    </row>
    <row r="38" spans="1:9" x14ac:dyDescent="0.45">
      <c r="A38" s="1">
        <v>42041</v>
      </c>
      <c r="B38">
        <v>141837.005</v>
      </c>
      <c r="C38">
        <v>38.840180269999998</v>
      </c>
      <c r="D38" s="2">
        <v>14.5</v>
      </c>
      <c r="E38" s="2">
        <v>35.700000000000003</v>
      </c>
      <c r="F38" s="2">
        <v>28.4</v>
      </c>
      <c r="G38" s="2">
        <v>0</v>
      </c>
      <c r="H38" s="2" t="str">
        <f>VLOOKUP(A38,Holidays!$A$2:$B$2107,2,1)</f>
        <v>Y</v>
      </c>
      <c r="I38" s="2" t="str">
        <f>VLOOKUP(A38,Holidays!$A$2:$C$2107,3,1)</f>
        <v>N</v>
      </c>
    </row>
    <row r="39" spans="1:9" x14ac:dyDescent="0.45">
      <c r="A39" s="1">
        <v>42042</v>
      </c>
      <c r="B39">
        <v>132138.36499999999</v>
      </c>
      <c r="C39">
        <v>28.761706780000001</v>
      </c>
      <c r="D39" s="2">
        <v>18.8</v>
      </c>
      <c r="E39" s="2">
        <v>35</v>
      </c>
      <c r="F39" s="2">
        <v>16.100000000000001</v>
      </c>
      <c r="G39" s="2">
        <v>0</v>
      </c>
      <c r="H39" s="2" t="str">
        <f>VLOOKUP(A39,Holidays!$A$2:$B$2107,2,1)</f>
        <v>Y</v>
      </c>
      <c r="I39" s="2" t="str">
        <f>VLOOKUP(A39,Holidays!$A$2:$C$2107,3,1)</f>
        <v>N</v>
      </c>
    </row>
    <row r="40" spans="1:9" x14ac:dyDescent="0.45">
      <c r="A40" s="1">
        <v>42043</v>
      </c>
      <c r="B40">
        <v>112108.215</v>
      </c>
      <c r="C40">
        <v>23.974106599999999</v>
      </c>
      <c r="D40" s="2">
        <v>18.899999999999999</v>
      </c>
      <c r="E40" s="2">
        <v>21.5</v>
      </c>
      <c r="F40" s="2">
        <v>16.600000000000001</v>
      </c>
      <c r="G40" s="2">
        <v>0</v>
      </c>
      <c r="H40" s="2" t="str">
        <f>VLOOKUP(A40,Holidays!$A$2:$B$2107,2,1)</f>
        <v>Y</v>
      </c>
      <c r="I40" s="2" t="str">
        <f>VLOOKUP(A40,Holidays!$A$2:$C$2107,3,1)</f>
        <v>N</v>
      </c>
    </row>
    <row r="41" spans="1:9" x14ac:dyDescent="0.45">
      <c r="A41" s="1">
        <v>42044</v>
      </c>
      <c r="B41">
        <v>126813.075</v>
      </c>
      <c r="C41">
        <v>28.90913471</v>
      </c>
      <c r="D41" s="2">
        <v>13.6</v>
      </c>
      <c r="E41" s="2">
        <v>28.3</v>
      </c>
      <c r="F41" s="2">
        <v>28.6</v>
      </c>
      <c r="G41" s="2">
        <v>0</v>
      </c>
      <c r="H41" s="2" t="str">
        <f>VLOOKUP(A41,Holidays!$A$2:$B$2107,2,1)</f>
        <v>Y</v>
      </c>
      <c r="I41" s="2" t="str">
        <f>VLOOKUP(A41,Holidays!$A$2:$C$2107,3,1)</f>
        <v>N</v>
      </c>
    </row>
    <row r="42" spans="1:9" x14ac:dyDescent="0.45">
      <c r="A42" s="1">
        <v>42045</v>
      </c>
      <c r="B42">
        <v>145948.565</v>
      </c>
      <c r="C42">
        <v>37.522599980000003</v>
      </c>
      <c r="D42" s="2">
        <v>16.399999999999999</v>
      </c>
      <c r="E42" s="2">
        <v>27.8</v>
      </c>
      <c r="F42" s="2">
        <v>27.7</v>
      </c>
      <c r="G42" s="2">
        <v>0</v>
      </c>
      <c r="H42" s="2" t="str">
        <f>VLOOKUP(A42,Holidays!$A$2:$B$2107,2,1)</f>
        <v>Y</v>
      </c>
      <c r="I42" s="2" t="str">
        <f>VLOOKUP(A42,Holidays!$A$2:$C$2107,3,1)</f>
        <v>N</v>
      </c>
    </row>
    <row r="43" spans="1:9" x14ac:dyDescent="0.45">
      <c r="A43" s="1">
        <v>42046</v>
      </c>
      <c r="B43">
        <v>149322.85</v>
      </c>
      <c r="C43">
        <v>32.655454300000002</v>
      </c>
      <c r="D43" s="2">
        <v>18.100000000000001</v>
      </c>
      <c r="E43" s="2">
        <v>26.8</v>
      </c>
      <c r="F43" s="2">
        <v>24.1</v>
      </c>
      <c r="G43" s="2">
        <v>0</v>
      </c>
      <c r="H43" s="2" t="str">
        <f>VLOOKUP(A43,Holidays!$A$2:$B$2107,2,1)</f>
        <v>Y</v>
      </c>
      <c r="I43" s="2" t="str">
        <f>VLOOKUP(A43,Holidays!$A$2:$C$2107,3,1)</f>
        <v>N</v>
      </c>
    </row>
    <row r="44" spans="1:9" x14ac:dyDescent="0.45">
      <c r="A44" s="1">
        <v>42047</v>
      </c>
      <c r="B44">
        <v>131376.78</v>
      </c>
      <c r="C44">
        <v>26.576634940000002</v>
      </c>
      <c r="D44" s="2">
        <v>17.8</v>
      </c>
      <c r="E44" s="2">
        <v>21.9</v>
      </c>
      <c r="F44" s="2">
        <v>23.8</v>
      </c>
      <c r="G44" s="2">
        <v>0</v>
      </c>
      <c r="H44" s="2" t="str">
        <f>VLOOKUP(A44,Holidays!$A$2:$B$2107,2,1)</f>
        <v>Y</v>
      </c>
      <c r="I44" s="2" t="str">
        <f>VLOOKUP(A44,Holidays!$A$2:$C$2107,3,1)</f>
        <v>N</v>
      </c>
    </row>
    <row r="45" spans="1:9" x14ac:dyDescent="0.45">
      <c r="A45" s="1">
        <v>42048</v>
      </c>
      <c r="B45">
        <v>136070.62</v>
      </c>
      <c r="C45">
        <v>18.73697061</v>
      </c>
      <c r="D45" s="2">
        <v>16.100000000000001</v>
      </c>
      <c r="E45" s="2">
        <v>32.4</v>
      </c>
      <c r="F45" s="2">
        <v>14.9</v>
      </c>
      <c r="G45" s="2">
        <v>0</v>
      </c>
      <c r="H45" s="2" t="str">
        <f>VLOOKUP(A45,Holidays!$A$2:$B$2107,2,1)</f>
        <v>Y</v>
      </c>
      <c r="I45" s="2" t="str">
        <f>VLOOKUP(A45,Holidays!$A$2:$C$2107,3,1)</f>
        <v>N</v>
      </c>
    </row>
    <row r="46" spans="1:9" x14ac:dyDescent="0.45">
      <c r="A46" s="1">
        <v>42049</v>
      </c>
      <c r="B46">
        <v>119692.02499999999</v>
      </c>
      <c r="C46">
        <v>20.240103229999999</v>
      </c>
      <c r="D46" s="2">
        <v>19</v>
      </c>
      <c r="E46" s="2">
        <v>25.1</v>
      </c>
      <c r="F46" s="2">
        <v>20.8</v>
      </c>
      <c r="G46" s="2">
        <v>19.600000000000001</v>
      </c>
      <c r="H46" s="2" t="str">
        <f>VLOOKUP(A46,Holidays!$A$2:$B$2107,2,1)</f>
        <v>Y</v>
      </c>
      <c r="I46" s="2" t="str">
        <f>VLOOKUP(A46,Holidays!$A$2:$C$2107,3,1)</f>
        <v>N</v>
      </c>
    </row>
    <row r="47" spans="1:9" x14ac:dyDescent="0.45">
      <c r="A47" s="1">
        <v>42050</v>
      </c>
      <c r="B47">
        <v>125287.71</v>
      </c>
      <c r="C47">
        <v>24.584186939999999</v>
      </c>
      <c r="D47" s="2">
        <v>18.2</v>
      </c>
      <c r="E47" s="2">
        <v>34.4</v>
      </c>
      <c r="F47" s="2">
        <v>25.7</v>
      </c>
      <c r="G47" s="2">
        <v>0.4</v>
      </c>
      <c r="H47" s="2" t="str">
        <f>VLOOKUP(A47,Holidays!$A$2:$B$2107,2,1)</f>
        <v>Y</v>
      </c>
      <c r="I47" s="2" t="str">
        <f>VLOOKUP(A47,Holidays!$A$2:$C$2107,3,1)</f>
        <v>N</v>
      </c>
    </row>
    <row r="48" spans="1:9" x14ac:dyDescent="0.45">
      <c r="A48" s="1">
        <v>42051</v>
      </c>
      <c r="B48">
        <v>131832.63</v>
      </c>
      <c r="C48">
        <v>31.9490406</v>
      </c>
      <c r="D48" s="2">
        <v>17.399999999999999</v>
      </c>
      <c r="E48" s="2">
        <v>24.6</v>
      </c>
      <c r="F48" s="2">
        <v>26.3</v>
      </c>
      <c r="G48" s="2">
        <v>0</v>
      </c>
      <c r="H48" s="2" t="str">
        <f>VLOOKUP(A48,Holidays!$A$2:$B$2107,2,1)</f>
        <v>Y</v>
      </c>
      <c r="I48" s="2" t="str">
        <f>VLOOKUP(A48,Holidays!$A$2:$C$2107,3,1)</f>
        <v>N</v>
      </c>
    </row>
    <row r="49" spans="1:9" x14ac:dyDescent="0.45">
      <c r="A49" s="1">
        <v>42052</v>
      </c>
      <c r="B49">
        <v>127666.01</v>
      </c>
      <c r="C49">
        <v>30.250149390000001</v>
      </c>
      <c r="D49" s="2">
        <v>17.600000000000001</v>
      </c>
      <c r="E49" s="2">
        <v>20.6</v>
      </c>
      <c r="F49" s="2">
        <v>8.3000000000000007</v>
      </c>
      <c r="G49" s="2">
        <v>0</v>
      </c>
      <c r="H49" s="2" t="str">
        <f>VLOOKUP(A49,Holidays!$A$2:$B$2107,2,1)</f>
        <v>Y</v>
      </c>
      <c r="I49" s="2" t="str">
        <f>VLOOKUP(A49,Holidays!$A$2:$C$2107,3,1)</f>
        <v>N</v>
      </c>
    </row>
    <row r="50" spans="1:9" x14ac:dyDescent="0.45">
      <c r="A50" s="1">
        <v>42053</v>
      </c>
      <c r="B50">
        <v>125972.765</v>
      </c>
      <c r="C50">
        <v>30.235792750000002</v>
      </c>
      <c r="D50" s="2">
        <v>17.7</v>
      </c>
      <c r="E50" s="2">
        <v>21.2</v>
      </c>
      <c r="F50" s="2">
        <v>7.8</v>
      </c>
      <c r="G50" s="2">
        <v>0</v>
      </c>
      <c r="H50" s="2" t="str">
        <f>VLOOKUP(A50,Holidays!$A$2:$B$2107,2,1)</f>
        <v>Y</v>
      </c>
      <c r="I50" s="2" t="str">
        <f>VLOOKUP(A50,Holidays!$A$2:$C$2107,3,1)</f>
        <v>N</v>
      </c>
    </row>
    <row r="51" spans="1:9" x14ac:dyDescent="0.45">
      <c r="A51" s="1">
        <v>42054</v>
      </c>
      <c r="B51">
        <v>139399.69</v>
      </c>
      <c r="C51">
        <v>33.598960679999998</v>
      </c>
      <c r="D51" s="2">
        <v>18.2</v>
      </c>
      <c r="E51" s="2">
        <v>26.9</v>
      </c>
      <c r="F51" s="2">
        <v>24.7</v>
      </c>
      <c r="G51" s="2">
        <v>0</v>
      </c>
      <c r="H51" s="2" t="str">
        <f>VLOOKUP(A51,Holidays!$A$2:$B$2107,2,1)</f>
        <v>Y</v>
      </c>
      <c r="I51" s="2" t="str">
        <f>VLOOKUP(A51,Holidays!$A$2:$C$2107,3,1)</f>
        <v>N</v>
      </c>
    </row>
    <row r="52" spans="1:9" x14ac:dyDescent="0.45">
      <c r="A52" s="1">
        <v>42055</v>
      </c>
      <c r="B52">
        <v>139465.67499999999</v>
      </c>
      <c r="C52">
        <v>33.538671530000002</v>
      </c>
      <c r="D52" s="2">
        <v>17.399999999999999</v>
      </c>
      <c r="E52" s="2">
        <v>25.3</v>
      </c>
      <c r="F52" s="2">
        <v>24.7</v>
      </c>
      <c r="G52" s="2">
        <v>0</v>
      </c>
      <c r="H52" s="2" t="str">
        <f>VLOOKUP(A52,Holidays!$A$2:$B$2107,2,1)</f>
        <v>Y</v>
      </c>
      <c r="I52" s="2" t="str">
        <f>VLOOKUP(A52,Holidays!$A$2:$C$2107,3,1)</f>
        <v>N</v>
      </c>
    </row>
    <row r="53" spans="1:9" x14ac:dyDescent="0.45">
      <c r="A53" s="1">
        <v>42056</v>
      </c>
      <c r="B53">
        <v>136283.03</v>
      </c>
      <c r="C53">
        <v>31.252819840000001</v>
      </c>
      <c r="D53" s="2">
        <v>18.100000000000001</v>
      </c>
      <c r="E53" s="2">
        <v>36.1</v>
      </c>
      <c r="F53" s="2">
        <v>20</v>
      </c>
      <c r="G53" s="2">
        <v>0</v>
      </c>
      <c r="H53" s="2" t="str">
        <f>VLOOKUP(A53,Holidays!$A$2:$B$2107,2,1)</f>
        <v>Y</v>
      </c>
      <c r="I53" s="2" t="str">
        <f>VLOOKUP(A53,Holidays!$A$2:$C$2107,3,1)</f>
        <v>N</v>
      </c>
    </row>
    <row r="54" spans="1:9" x14ac:dyDescent="0.45">
      <c r="A54" s="1">
        <v>42057</v>
      </c>
      <c r="B54">
        <v>138016.35</v>
      </c>
      <c r="C54">
        <v>32.40972721</v>
      </c>
      <c r="D54" s="2">
        <v>20.3</v>
      </c>
      <c r="E54" s="2">
        <v>35.299999999999997</v>
      </c>
      <c r="F54" s="2">
        <v>11.7</v>
      </c>
      <c r="G54" s="2">
        <v>1.6</v>
      </c>
      <c r="H54" s="2" t="str">
        <f>VLOOKUP(A54,Holidays!$A$2:$B$2107,2,1)</f>
        <v>Y</v>
      </c>
      <c r="I54" s="2" t="str">
        <f>VLOOKUP(A54,Holidays!$A$2:$C$2107,3,1)</f>
        <v>N</v>
      </c>
    </row>
    <row r="55" spans="1:9" x14ac:dyDescent="0.45">
      <c r="A55" s="1">
        <v>42058</v>
      </c>
      <c r="B55">
        <v>135255.815</v>
      </c>
      <c r="C55">
        <v>28.417229129999999</v>
      </c>
      <c r="D55" s="2">
        <v>21.1</v>
      </c>
      <c r="E55" s="2">
        <v>29.3</v>
      </c>
      <c r="F55" s="2">
        <v>4.7</v>
      </c>
      <c r="G55" s="2">
        <v>0</v>
      </c>
      <c r="H55" s="2" t="str">
        <f>VLOOKUP(A55,Holidays!$A$2:$B$2107,2,1)</f>
        <v>Y</v>
      </c>
      <c r="I55" s="2" t="str">
        <f>VLOOKUP(A55,Holidays!$A$2:$C$2107,3,1)</f>
        <v>N</v>
      </c>
    </row>
    <row r="56" spans="1:9" x14ac:dyDescent="0.45">
      <c r="A56" s="1">
        <v>42059</v>
      </c>
      <c r="B56">
        <v>120263.515</v>
      </c>
      <c r="C56">
        <v>26.559011900000002</v>
      </c>
      <c r="D56" s="2">
        <v>15.9</v>
      </c>
      <c r="E56" s="2">
        <v>20.100000000000001</v>
      </c>
      <c r="F56" s="2">
        <v>21.4</v>
      </c>
      <c r="G56" s="2">
        <v>3.2</v>
      </c>
      <c r="H56" s="2" t="str">
        <f>VLOOKUP(A56,Holidays!$A$2:$B$2107,2,1)</f>
        <v>Y</v>
      </c>
      <c r="I56" s="2" t="str">
        <f>VLOOKUP(A56,Holidays!$A$2:$C$2107,3,1)</f>
        <v>N</v>
      </c>
    </row>
    <row r="57" spans="1:9" x14ac:dyDescent="0.45">
      <c r="A57" s="1">
        <v>42060</v>
      </c>
      <c r="B57">
        <v>130062.755</v>
      </c>
      <c r="C57">
        <v>33.323249590000003</v>
      </c>
      <c r="D57" s="2">
        <v>14</v>
      </c>
      <c r="E57" s="2">
        <v>27</v>
      </c>
      <c r="F57" s="2">
        <v>24.1</v>
      </c>
      <c r="G57" s="2">
        <v>0</v>
      </c>
      <c r="H57" s="2" t="str">
        <f>VLOOKUP(A57,Holidays!$A$2:$B$2107,2,1)</f>
        <v>Y</v>
      </c>
      <c r="I57" s="2" t="str">
        <f>VLOOKUP(A57,Holidays!$A$2:$C$2107,3,1)</f>
        <v>N</v>
      </c>
    </row>
    <row r="58" spans="1:9" x14ac:dyDescent="0.45">
      <c r="A58" s="1">
        <v>42061</v>
      </c>
      <c r="B58">
        <v>131525.85500000001</v>
      </c>
      <c r="C58">
        <v>39.086578340000003</v>
      </c>
      <c r="D58" s="2">
        <v>16</v>
      </c>
      <c r="E58" s="2">
        <v>23.2</v>
      </c>
      <c r="F58" s="2">
        <v>18.5</v>
      </c>
      <c r="G58" s="2">
        <v>0</v>
      </c>
      <c r="H58" s="2" t="str">
        <f>VLOOKUP(A58,Holidays!$A$2:$B$2107,2,1)</f>
        <v>Y</v>
      </c>
      <c r="I58" s="2" t="str">
        <f>VLOOKUP(A58,Holidays!$A$2:$C$2107,3,1)</f>
        <v>N</v>
      </c>
    </row>
    <row r="59" spans="1:9" x14ac:dyDescent="0.45">
      <c r="A59" s="1">
        <v>42062</v>
      </c>
      <c r="B59">
        <v>131069.4</v>
      </c>
      <c r="C59">
        <v>36.339011550000002</v>
      </c>
      <c r="D59" s="2">
        <v>14.8</v>
      </c>
      <c r="E59" s="2">
        <v>24.3</v>
      </c>
      <c r="F59" s="2">
        <v>21.7</v>
      </c>
      <c r="G59" s="2">
        <v>0</v>
      </c>
      <c r="H59" s="2" t="str">
        <f>VLOOKUP(A59,Holidays!$A$2:$B$2107,2,1)</f>
        <v>Y</v>
      </c>
      <c r="I59" s="2" t="str">
        <f>VLOOKUP(A59,Holidays!$A$2:$C$2107,3,1)</f>
        <v>N</v>
      </c>
    </row>
    <row r="60" spans="1:9" x14ac:dyDescent="0.45">
      <c r="A60" s="1">
        <v>42063</v>
      </c>
      <c r="B60">
        <v>116275.73</v>
      </c>
      <c r="C60">
        <v>25.143130729999999</v>
      </c>
      <c r="D60" s="2">
        <v>17.899999999999999</v>
      </c>
      <c r="E60" s="2">
        <v>32.299999999999997</v>
      </c>
      <c r="F60" s="2">
        <v>6.9</v>
      </c>
      <c r="G60" s="2">
        <v>0</v>
      </c>
      <c r="H60" s="2" t="str">
        <f>VLOOKUP(A60,Holidays!$A$2:$B$2107,2,1)</f>
        <v>Y</v>
      </c>
      <c r="I60" s="2" t="str">
        <f>VLOOKUP(A60,Holidays!$A$2:$C$2107,3,1)</f>
        <v>N</v>
      </c>
    </row>
    <row r="61" spans="1:9" x14ac:dyDescent="0.45">
      <c r="A61" s="1">
        <v>42064</v>
      </c>
      <c r="B61">
        <v>103462.78</v>
      </c>
      <c r="C61">
        <v>24.58614815</v>
      </c>
      <c r="D61" s="2">
        <v>15.2</v>
      </c>
      <c r="E61" s="2">
        <v>20.8</v>
      </c>
      <c r="F61" s="2">
        <v>23.3</v>
      </c>
      <c r="G61" s="2">
        <v>15.8</v>
      </c>
      <c r="H61" s="2" t="str">
        <f>VLOOKUP(A61,Holidays!$A$2:$B$2107,2,1)</f>
        <v>Y</v>
      </c>
      <c r="I61" s="2" t="str">
        <f>VLOOKUP(A61,Holidays!$A$2:$C$2107,3,1)</f>
        <v>N</v>
      </c>
    </row>
    <row r="62" spans="1:9" x14ac:dyDescent="0.45">
      <c r="A62" s="1">
        <v>42065</v>
      </c>
      <c r="B62">
        <v>123301.83500000001</v>
      </c>
      <c r="C62">
        <v>33.166526230000002</v>
      </c>
      <c r="D62" s="2">
        <v>11.6</v>
      </c>
      <c r="E62" s="2">
        <v>23</v>
      </c>
      <c r="F62" s="2">
        <v>22</v>
      </c>
      <c r="G62" s="2">
        <v>0</v>
      </c>
      <c r="H62" s="2" t="str">
        <f>VLOOKUP(A62,Holidays!$A$2:$B$2107,2,1)</f>
        <v>Y</v>
      </c>
      <c r="I62" s="2" t="str">
        <f>VLOOKUP(A62,Holidays!$A$2:$C$2107,3,1)</f>
        <v>N</v>
      </c>
    </row>
    <row r="63" spans="1:9" x14ac:dyDescent="0.45">
      <c r="A63" s="1">
        <v>42066</v>
      </c>
      <c r="B63">
        <v>126750.29</v>
      </c>
      <c r="C63">
        <v>43.739457139999999</v>
      </c>
      <c r="D63" s="2">
        <v>15.5</v>
      </c>
      <c r="E63" s="2">
        <v>22.7</v>
      </c>
      <c r="F63" s="2">
        <v>21.2</v>
      </c>
      <c r="G63" s="2">
        <v>0</v>
      </c>
      <c r="H63" s="2" t="str">
        <f>VLOOKUP(A63,Holidays!$A$2:$B$2107,2,1)</f>
        <v>Y</v>
      </c>
      <c r="I63" s="2" t="str">
        <f>VLOOKUP(A63,Holidays!$A$2:$C$2107,3,1)</f>
        <v>N</v>
      </c>
    </row>
    <row r="64" spans="1:9" x14ac:dyDescent="0.45">
      <c r="A64" s="1">
        <v>42067</v>
      </c>
      <c r="B64">
        <v>120764.185</v>
      </c>
      <c r="C64">
        <v>37.252483910000002</v>
      </c>
      <c r="D64" s="2">
        <v>15.4</v>
      </c>
      <c r="E64" s="2">
        <v>23.5</v>
      </c>
      <c r="F64" s="2">
        <v>23</v>
      </c>
      <c r="G64" s="2">
        <v>0</v>
      </c>
      <c r="H64" s="2" t="str">
        <f>VLOOKUP(A64,Holidays!$A$2:$B$2107,2,1)</f>
        <v>Y</v>
      </c>
      <c r="I64" s="2" t="str">
        <f>VLOOKUP(A64,Holidays!$A$2:$C$2107,3,1)</f>
        <v>N</v>
      </c>
    </row>
    <row r="65" spans="1:9" x14ac:dyDescent="0.45">
      <c r="A65" s="1">
        <v>42068</v>
      </c>
      <c r="B65">
        <v>114967.345</v>
      </c>
      <c r="C65">
        <v>25.322828099999999</v>
      </c>
      <c r="D65" s="2">
        <v>12.6</v>
      </c>
      <c r="E65" s="2">
        <v>18.600000000000001</v>
      </c>
      <c r="F65" s="2">
        <v>22.5</v>
      </c>
      <c r="G65" s="2">
        <v>0.8</v>
      </c>
      <c r="H65" s="2" t="str">
        <f>VLOOKUP(A65,Holidays!$A$2:$B$2107,2,1)</f>
        <v>Y</v>
      </c>
      <c r="I65" s="2" t="str">
        <f>VLOOKUP(A65,Holidays!$A$2:$C$2107,3,1)</f>
        <v>N</v>
      </c>
    </row>
    <row r="66" spans="1:9" x14ac:dyDescent="0.45">
      <c r="A66" s="1">
        <v>42069</v>
      </c>
      <c r="B66">
        <v>117053.75</v>
      </c>
      <c r="C66">
        <v>27.750521689999999</v>
      </c>
      <c r="D66" s="2">
        <v>14.1</v>
      </c>
      <c r="E66" s="2">
        <v>21.1</v>
      </c>
      <c r="F66" s="2">
        <v>10.8</v>
      </c>
      <c r="G66" s="2">
        <v>0.2</v>
      </c>
      <c r="H66" s="2" t="str">
        <f>VLOOKUP(A66,Holidays!$A$2:$B$2107,2,1)</f>
        <v>Y</v>
      </c>
      <c r="I66" s="2" t="str">
        <f>VLOOKUP(A66,Holidays!$A$2:$C$2107,3,1)</f>
        <v>N</v>
      </c>
    </row>
    <row r="67" spans="1:9" x14ac:dyDescent="0.45">
      <c r="A67" s="1">
        <v>42070</v>
      </c>
      <c r="B67">
        <v>108344.575</v>
      </c>
      <c r="C67">
        <v>22.113214540000001</v>
      </c>
      <c r="D67" s="2">
        <v>15.4</v>
      </c>
      <c r="E67" s="2">
        <v>22.6</v>
      </c>
      <c r="F67" s="2">
        <v>10.8</v>
      </c>
      <c r="G67" s="2">
        <v>0.2</v>
      </c>
      <c r="H67" s="2" t="str">
        <f>VLOOKUP(A67,Holidays!$A$2:$B$2107,2,1)</f>
        <v>Y</v>
      </c>
      <c r="I67" s="2" t="str">
        <f>VLOOKUP(A67,Holidays!$A$2:$C$2107,3,1)</f>
        <v>N</v>
      </c>
    </row>
    <row r="68" spans="1:9" x14ac:dyDescent="0.45">
      <c r="A68" s="1">
        <v>42071</v>
      </c>
      <c r="B68">
        <v>106348.78</v>
      </c>
      <c r="C68">
        <v>20.57443413</v>
      </c>
      <c r="D68" s="2">
        <v>16.2</v>
      </c>
      <c r="E68" s="2">
        <v>24.4</v>
      </c>
      <c r="F68" s="2">
        <v>20.399999999999999</v>
      </c>
      <c r="G68" s="2">
        <v>0</v>
      </c>
      <c r="H68" s="2" t="str">
        <f>VLOOKUP(A68,Holidays!$A$2:$B$2107,2,1)</f>
        <v>Y</v>
      </c>
      <c r="I68" s="2" t="str">
        <f>VLOOKUP(A68,Holidays!$A$2:$C$2107,3,1)</f>
        <v>N</v>
      </c>
    </row>
    <row r="69" spans="1:9" x14ac:dyDescent="0.45">
      <c r="A69" s="1">
        <v>42072</v>
      </c>
      <c r="B69">
        <v>108282.48</v>
      </c>
      <c r="C69">
        <v>23.80806827</v>
      </c>
      <c r="D69" s="2">
        <v>14.4</v>
      </c>
      <c r="E69" s="2">
        <v>23.8</v>
      </c>
      <c r="F69" s="2">
        <v>18.600000000000001</v>
      </c>
      <c r="G69" s="2">
        <v>0</v>
      </c>
      <c r="H69" s="2" t="str">
        <f>VLOOKUP(A69,Holidays!$A$2:$B$2107,2,1)</f>
        <v>Y</v>
      </c>
      <c r="I69" s="2" t="str">
        <f>VLOOKUP(A69,Holidays!$A$2:$C$2107,3,1)</f>
        <v>Y</v>
      </c>
    </row>
    <row r="70" spans="1:9" x14ac:dyDescent="0.45">
      <c r="A70" s="1">
        <v>42073</v>
      </c>
      <c r="B70">
        <v>125828.53</v>
      </c>
      <c r="C70">
        <v>31.763749180000001</v>
      </c>
      <c r="D70" s="2">
        <v>16.2</v>
      </c>
      <c r="E70" s="2">
        <v>21.7</v>
      </c>
      <c r="F70" s="2">
        <v>22.1</v>
      </c>
      <c r="G70" s="2">
        <v>0</v>
      </c>
      <c r="H70" s="2" t="str">
        <f>VLOOKUP(A70,Holidays!$A$2:$B$2107,2,1)</f>
        <v>Y</v>
      </c>
      <c r="I70" s="2" t="str">
        <f>VLOOKUP(A70,Holidays!$A$2:$C$2107,3,1)</f>
        <v>N</v>
      </c>
    </row>
    <row r="71" spans="1:9" x14ac:dyDescent="0.45">
      <c r="A71" s="1">
        <v>42074</v>
      </c>
      <c r="B71">
        <v>124418.41499999999</v>
      </c>
      <c r="C71">
        <v>33.59649288</v>
      </c>
      <c r="D71" s="2">
        <v>11.2</v>
      </c>
      <c r="E71" s="2">
        <v>23.8</v>
      </c>
      <c r="F71" s="2">
        <v>22.3</v>
      </c>
      <c r="G71" s="2">
        <v>0</v>
      </c>
      <c r="H71" s="2" t="str">
        <f>VLOOKUP(A71,Holidays!$A$2:$B$2107,2,1)</f>
        <v>Y</v>
      </c>
      <c r="I71" s="2" t="str">
        <f>VLOOKUP(A71,Holidays!$A$2:$C$2107,3,1)</f>
        <v>N</v>
      </c>
    </row>
    <row r="72" spans="1:9" x14ac:dyDescent="0.45">
      <c r="A72" s="1">
        <v>42075</v>
      </c>
      <c r="B72">
        <v>121683.65</v>
      </c>
      <c r="C72">
        <v>26.040505889999999</v>
      </c>
      <c r="D72" s="2">
        <v>13</v>
      </c>
      <c r="E72" s="2">
        <v>19.899999999999999</v>
      </c>
      <c r="F72" s="2">
        <v>18.7</v>
      </c>
      <c r="G72" s="2">
        <v>0</v>
      </c>
      <c r="H72" s="2" t="str">
        <f>VLOOKUP(A72,Holidays!$A$2:$B$2107,2,1)</f>
        <v>Y</v>
      </c>
      <c r="I72" s="2" t="str">
        <f>VLOOKUP(A72,Holidays!$A$2:$C$2107,3,1)</f>
        <v>N</v>
      </c>
    </row>
    <row r="73" spans="1:9" x14ac:dyDescent="0.45">
      <c r="A73" s="1">
        <v>42076</v>
      </c>
      <c r="B73">
        <v>120929.815</v>
      </c>
      <c r="C73">
        <v>24.195363230000002</v>
      </c>
      <c r="D73" s="2">
        <v>14.4</v>
      </c>
      <c r="E73" s="2">
        <v>20.399999999999999</v>
      </c>
      <c r="F73" s="2">
        <v>21.2</v>
      </c>
      <c r="G73" s="2">
        <v>0</v>
      </c>
      <c r="H73" s="2" t="str">
        <f>VLOOKUP(A73,Holidays!$A$2:$B$2107,2,1)</f>
        <v>Y</v>
      </c>
      <c r="I73" s="2" t="str">
        <f>VLOOKUP(A73,Holidays!$A$2:$C$2107,3,1)</f>
        <v>N</v>
      </c>
    </row>
    <row r="74" spans="1:9" x14ac:dyDescent="0.45">
      <c r="A74" s="1">
        <v>42077</v>
      </c>
      <c r="B74">
        <v>108738.82</v>
      </c>
      <c r="C74">
        <v>17.394529559999999</v>
      </c>
      <c r="D74" s="2">
        <v>9.4</v>
      </c>
      <c r="E74" s="2">
        <v>30.1</v>
      </c>
      <c r="F74" s="2">
        <v>20</v>
      </c>
      <c r="G74" s="2">
        <v>0</v>
      </c>
      <c r="H74" s="2" t="str">
        <f>VLOOKUP(A74,Holidays!$A$2:$B$2107,2,1)</f>
        <v>Y</v>
      </c>
      <c r="I74" s="2" t="str">
        <f>VLOOKUP(A74,Holidays!$A$2:$C$2107,3,1)</f>
        <v>N</v>
      </c>
    </row>
    <row r="75" spans="1:9" x14ac:dyDescent="0.45">
      <c r="A75" s="1">
        <v>42078</v>
      </c>
      <c r="B75">
        <v>100170.295</v>
      </c>
      <c r="C75">
        <v>14.373099399999999</v>
      </c>
      <c r="D75" s="2">
        <v>13.1</v>
      </c>
      <c r="E75" s="2">
        <v>18.3</v>
      </c>
      <c r="F75" s="2">
        <v>17.5</v>
      </c>
      <c r="G75" s="2">
        <v>2.2000000000000002</v>
      </c>
      <c r="H75" s="2" t="str">
        <f>VLOOKUP(A75,Holidays!$A$2:$B$2107,2,1)</f>
        <v>Y</v>
      </c>
      <c r="I75" s="2" t="str">
        <f>VLOOKUP(A75,Holidays!$A$2:$C$2107,3,1)</f>
        <v>N</v>
      </c>
    </row>
    <row r="76" spans="1:9" x14ac:dyDescent="0.45">
      <c r="A76" s="1">
        <v>42079</v>
      </c>
      <c r="B76">
        <v>123787.075</v>
      </c>
      <c r="C76">
        <v>22.66079993</v>
      </c>
      <c r="D76" s="2">
        <v>10.5</v>
      </c>
      <c r="E76" s="2">
        <v>25.5</v>
      </c>
      <c r="F76" s="2">
        <v>14.5</v>
      </c>
      <c r="G76" s="2">
        <v>0</v>
      </c>
      <c r="H76" s="2" t="str">
        <f>VLOOKUP(A76,Holidays!$A$2:$B$2107,2,1)</f>
        <v>Y</v>
      </c>
      <c r="I76" s="2" t="str">
        <f>VLOOKUP(A76,Holidays!$A$2:$C$2107,3,1)</f>
        <v>N</v>
      </c>
    </row>
    <row r="77" spans="1:9" x14ac:dyDescent="0.45">
      <c r="A77" s="1">
        <v>42080</v>
      </c>
      <c r="B77">
        <v>125600.86</v>
      </c>
      <c r="C77">
        <v>21.38556947</v>
      </c>
      <c r="D77" s="2">
        <v>13</v>
      </c>
      <c r="E77" s="2">
        <v>26.2</v>
      </c>
      <c r="F77" s="2">
        <v>4.8</v>
      </c>
      <c r="G77" s="2">
        <v>0</v>
      </c>
      <c r="H77" s="2" t="str">
        <f>VLOOKUP(A77,Holidays!$A$2:$B$2107,2,1)</f>
        <v>Y</v>
      </c>
      <c r="I77" s="2" t="str">
        <f>VLOOKUP(A77,Holidays!$A$2:$C$2107,3,1)</f>
        <v>N</v>
      </c>
    </row>
    <row r="78" spans="1:9" x14ac:dyDescent="0.45">
      <c r="A78" s="1">
        <v>42081</v>
      </c>
      <c r="B78">
        <v>127975.815</v>
      </c>
      <c r="C78">
        <v>24.43863773</v>
      </c>
      <c r="D78" s="2">
        <v>17.8</v>
      </c>
      <c r="E78" s="2">
        <v>24.4</v>
      </c>
      <c r="F78" s="2">
        <v>9.4</v>
      </c>
      <c r="G78" s="2">
        <v>1.4</v>
      </c>
      <c r="H78" s="2" t="str">
        <f>VLOOKUP(A78,Holidays!$A$2:$B$2107,2,1)</f>
        <v>Y</v>
      </c>
      <c r="I78" s="2" t="str">
        <f>VLOOKUP(A78,Holidays!$A$2:$C$2107,3,1)</f>
        <v>N</v>
      </c>
    </row>
    <row r="79" spans="1:9" x14ac:dyDescent="0.45">
      <c r="A79" s="1">
        <v>42082</v>
      </c>
      <c r="B79">
        <v>128319.45</v>
      </c>
      <c r="C79">
        <v>24.568240979999999</v>
      </c>
      <c r="D79" s="2">
        <v>16.5</v>
      </c>
      <c r="E79" s="2">
        <v>33.5</v>
      </c>
      <c r="F79" s="2">
        <v>15.1</v>
      </c>
      <c r="G79" s="2">
        <v>0</v>
      </c>
      <c r="H79" s="2" t="str">
        <f>VLOOKUP(A79,Holidays!$A$2:$B$2107,2,1)</f>
        <v>Y</v>
      </c>
      <c r="I79" s="2" t="str">
        <f>VLOOKUP(A79,Holidays!$A$2:$C$2107,3,1)</f>
        <v>N</v>
      </c>
    </row>
    <row r="80" spans="1:9" x14ac:dyDescent="0.45">
      <c r="A80" s="1">
        <v>42083</v>
      </c>
      <c r="B80">
        <v>119491.32</v>
      </c>
      <c r="C80">
        <v>24.06816285</v>
      </c>
      <c r="D80" s="2">
        <v>14.2</v>
      </c>
      <c r="E80" s="2">
        <v>19.600000000000001</v>
      </c>
      <c r="F80" s="2">
        <v>19.899999999999999</v>
      </c>
      <c r="G80" s="2">
        <v>0</v>
      </c>
      <c r="H80" s="2" t="str">
        <f>VLOOKUP(A80,Holidays!$A$2:$B$2107,2,1)</f>
        <v>Y</v>
      </c>
      <c r="I80" s="2" t="str">
        <f>VLOOKUP(A80,Holidays!$A$2:$C$2107,3,1)</f>
        <v>N</v>
      </c>
    </row>
    <row r="81" spans="1:9" x14ac:dyDescent="0.45">
      <c r="A81" s="1">
        <v>42084</v>
      </c>
      <c r="B81">
        <v>106754.8</v>
      </c>
      <c r="C81">
        <v>20.473714609999998</v>
      </c>
      <c r="D81" s="2">
        <v>11.9</v>
      </c>
      <c r="E81" s="2">
        <v>22.7</v>
      </c>
      <c r="F81" s="2">
        <v>20.8</v>
      </c>
      <c r="G81" s="2">
        <v>0</v>
      </c>
      <c r="H81" s="2" t="str">
        <f>VLOOKUP(A81,Holidays!$A$2:$B$2107,2,1)</f>
        <v>Y</v>
      </c>
      <c r="I81" s="2" t="str">
        <f>VLOOKUP(A81,Holidays!$A$2:$C$2107,3,1)</f>
        <v>N</v>
      </c>
    </row>
    <row r="82" spans="1:9" x14ac:dyDescent="0.45">
      <c r="A82" s="1">
        <v>42085</v>
      </c>
      <c r="B82">
        <v>106555.03</v>
      </c>
      <c r="C82">
        <v>18.918695589999999</v>
      </c>
      <c r="D82" s="2">
        <v>11.3</v>
      </c>
      <c r="E82" s="2">
        <v>28.8</v>
      </c>
      <c r="F82" s="2">
        <v>19.899999999999999</v>
      </c>
      <c r="G82" s="2">
        <v>0</v>
      </c>
      <c r="H82" s="2" t="str">
        <f>VLOOKUP(A82,Holidays!$A$2:$B$2107,2,1)</f>
        <v>Y</v>
      </c>
      <c r="I82" s="2" t="str">
        <f>VLOOKUP(A82,Holidays!$A$2:$C$2107,3,1)</f>
        <v>N</v>
      </c>
    </row>
    <row r="83" spans="1:9" x14ac:dyDescent="0.45">
      <c r="A83" s="1">
        <v>42086</v>
      </c>
      <c r="B83">
        <v>122810.05</v>
      </c>
      <c r="C83">
        <v>26.68562798</v>
      </c>
      <c r="D83" s="2">
        <v>13.6</v>
      </c>
      <c r="E83" s="2">
        <v>27</v>
      </c>
      <c r="F83" s="2">
        <v>3.9</v>
      </c>
      <c r="G83" s="2">
        <v>0</v>
      </c>
      <c r="H83" s="2" t="str">
        <f>VLOOKUP(A83,Holidays!$A$2:$B$2107,2,1)</f>
        <v>Y</v>
      </c>
      <c r="I83" s="2" t="str">
        <f>VLOOKUP(A83,Holidays!$A$2:$C$2107,3,1)</f>
        <v>N</v>
      </c>
    </row>
    <row r="84" spans="1:9" x14ac:dyDescent="0.45">
      <c r="A84" s="1">
        <v>42087</v>
      </c>
      <c r="B84">
        <v>123234.935</v>
      </c>
      <c r="C84">
        <v>34.05849946</v>
      </c>
      <c r="D84" s="2">
        <v>12.6</v>
      </c>
      <c r="E84" s="2">
        <v>15.3</v>
      </c>
      <c r="F84" s="2">
        <v>3.8</v>
      </c>
      <c r="G84" s="2">
        <v>1.4</v>
      </c>
      <c r="H84" s="2" t="str">
        <f>VLOOKUP(A84,Holidays!$A$2:$B$2107,2,1)</f>
        <v>Y</v>
      </c>
      <c r="I84" s="2" t="str">
        <f>VLOOKUP(A84,Holidays!$A$2:$C$2107,3,1)</f>
        <v>N</v>
      </c>
    </row>
    <row r="85" spans="1:9" x14ac:dyDescent="0.45">
      <c r="A85" s="1">
        <v>42088</v>
      </c>
      <c r="B85">
        <v>122268.86</v>
      </c>
      <c r="C85">
        <v>28.548754240000001</v>
      </c>
      <c r="D85" s="2">
        <v>13</v>
      </c>
      <c r="E85" s="2">
        <v>20.399999999999999</v>
      </c>
      <c r="F85" s="2">
        <v>13.8</v>
      </c>
      <c r="G85" s="2">
        <v>0.4</v>
      </c>
      <c r="H85" s="2" t="str">
        <f>VLOOKUP(A85,Holidays!$A$2:$B$2107,2,1)</f>
        <v>Y</v>
      </c>
      <c r="I85" s="2" t="str">
        <f>VLOOKUP(A85,Holidays!$A$2:$C$2107,3,1)</f>
        <v>N</v>
      </c>
    </row>
    <row r="86" spans="1:9" x14ac:dyDescent="0.45">
      <c r="A86" s="1">
        <v>42089</v>
      </c>
      <c r="B86">
        <v>121998.2</v>
      </c>
      <c r="C86">
        <v>21.971362899999999</v>
      </c>
      <c r="D86" s="2">
        <v>9.8000000000000007</v>
      </c>
      <c r="E86" s="2">
        <v>18</v>
      </c>
      <c r="F86" s="2">
        <v>9.9</v>
      </c>
      <c r="G86" s="2">
        <v>0.4</v>
      </c>
      <c r="H86" s="2" t="str">
        <f>VLOOKUP(A86,Holidays!$A$2:$B$2107,2,1)</f>
        <v>Y</v>
      </c>
      <c r="I86" s="2" t="str">
        <f>VLOOKUP(A86,Holidays!$A$2:$C$2107,3,1)</f>
        <v>N</v>
      </c>
    </row>
    <row r="87" spans="1:9" x14ac:dyDescent="0.45">
      <c r="A87" s="1">
        <v>42090</v>
      </c>
      <c r="B87">
        <v>122346.33500000001</v>
      </c>
      <c r="C87">
        <v>25.771600379999999</v>
      </c>
      <c r="D87" s="2">
        <v>11.6</v>
      </c>
      <c r="E87" s="2">
        <v>18.100000000000001</v>
      </c>
      <c r="F87" s="2">
        <v>11.2</v>
      </c>
      <c r="G87" s="2">
        <v>0.2</v>
      </c>
      <c r="H87" s="2" t="str">
        <f>VLOOKUP(A87,Holidays!$A$2:$B$2107,2,1)</f>
        <v>N</v>
      </c>
      <c r="I87" s="2" t="str">
        <f>VLOOKUP(A87,Holidays!$A$2:$C$2107,3,1)</f>
        <v>N</v>
      </c>
    </row>
    <row r="88" spans="1:9" x14ac:dyDescent="0.45">
      <c r="A88" s="1">
        <v>42091</v>
      </c>
      <c r="B88">
        <v>112187.715</v>
      </c>
      <c r="C88">
        <v>29.271368689999999</v>
      </c>
      <c r="D88" s="2">
        <v>12.7</v>
      </c>
      <c r="E88" s="2">
        <v>19.100000000000001</v>
      </c>
      <c r="F88" s="2">
        <v>14.4</v>
      </c>
      <c r="G88" s="2">
        <v>0</v>
      </c>
      <c r="H88" s="2" t="str">
        <f>VLOOKUP(A88,Holidays!$A$2:$B$2107,2,1)</f>
        <v>N</v>
      </c>
      <c r="I88" s="2" t="str">
        <f>VLOOKUP(A88,Holidays!$A$2:$C$2107,3,1)</f>
        <v>N</v>
      </c>
    </row>
    <row r="89" spans="1:9" x14ac:dyDescent="0.45">
      <c r="A89" s="1">
        <v>42092</v>
      </c>
      <c r="B89">
        <v>106418.66499999999</v>
      </c>
      <c r="C89">
        <v>24.672716350000002</v>
      </c>
      <c r="D89" s="2">
        <v>8.5</v>
      </c>
      <c r="E89" s="2">
        <v>22.7</v>
      </c>
      <c r="F89" s="2">
        <v>18.600000000000001</v>
      </c>
      <c r="G89" s="2">
        <v>0</v>
      </c>
      <c r="H89" s="2" t="str">
        <f>VLOOKUP(A89,Holidays!$A$2:$B$2107,2,1)</f>
        <v>N</v>
      </c>
      <c r="I89" s="2" t="str">
        <f>VLOOKUP(A89,Holidays!$A$2:$C$2107,3,1)</f>
        <v>N</v>
      </c>
    </row>
    <row r="90" spans="1:9" x14ac:dyDescent="0.45">
      <c r="A90" s="1">
        <v>42093</v>
      </c>
      <c r="B90">
        <v>123061.87</v>
      </c>
      <c r="C90">
        <v>33.750362699999997</v>
      </c>
      <c r="D90" s="2">
        <v>10.6</v>
      </c>
      <c r="E90" s="2">
        <v>23.1</v>
      </c>
      <c r="F90" s="2">
        <v>18.100000000000001</v>
      </c>
      <c r="G90" s="2">
        <v>0</v>
      </c>
      <c r="H90" s="2" t="str">
        <f>VLOOKUP(A90,Holidays!$A$2:$B$2107,2,1)</f>
        <v>N</v>
      </c>
      <c r="I90" s="2" t="str">
        <f>VLOOKUP(A90,Holidays!$A$2:$C$2107,3,1)</f>
        <v>N</v>
      </c>
    </row>
    <row r="91" spans="1:9" x14ac:dyDescent="0.45">
      <c r="A91" s="1">
        <v>42094</v>
      </c>
      <c r="B91">
        <v>125795.325</v>
      </c>
      <c r="C91">
        <v>31.836569579999999</v>
      </c>
      <c r="D91" s="2">
        <v>11.2</v>
      </c>
      <c r="E91" s="2">
        <v>25.3</v>
      </c>
      <c r="F91" s="2">
        <v>18.100000000000001</v>
      </c>
      <c r="G91" s="2">
        <v>0</v>
      </c>
      <c r="H91" s="2" t="str">
        <f>VLOOKUP(A91,Holidays!$A$2:$B$2107,2,1)</f>
        <v>N</v>
      </c>
      <c r="I91" s="2" t="str">
        <f>VLOOKUP(A91,Holidays!$A$2:$C$2107,3,1)</f>
        <v>N</v>
      </c>
    </row>
    <row r="92" spans="1:9" x14ac:dyDescent="0.45">
      <c r="A92" s="1">
        <v>42095</v>
      </c>
      <c r="B92">
        <v>122042.265</v>
      </c>
      <c r="C92">
        <v>26.167805860000001</v>
      </c>
      <c r="D92" s="2">
        <v>13.3</v>
      </c>
      <c r="E92" s="2">
        <v>29</v>
      </c>
      <c r="F92" s="2">
        <v>10.7</v>
      </c>
      <c r="G92" s="2">
        <v>0</v>
      </c>
      <c r="H92" s="2" t="str">
        <f>VLOOKUP(A92,Holidays!$A$2:$B$2107,2,1)</f>
        <v>N</v>
      </c>
      <c r="I92" s="2" t="str">
        <f>VLOOKUP(A92,Holidays!$A$2:$C$2107,3,1)</f>
        <v>N</v>
      </c>
    </row>
    <row r="93" spans="1:9" x14ac:dyDescent="0.45">
      <c r="A93" s="1">
        <v>42096</v>
      </c>
      <c r="B93">
        <v>113838.41</v>
      </c>
      <c r="C93">
        <v>23.46025058</v>
      </c>
      <c r="D93" s="2">
        <v>12.8</v>
      </c>
      <c r="E93" s="2">
        <v>17.2</v>
      </c>
      <c r="F93" s="2">
        <v>17.5</v>
      </c>
      <c r="G93" s="2">
        <v>0.2</v>
      </c>
      <c r="H93" s="2" t="str">
        <f>VLOOKUP(A93,Holidays!$A$2:$B$2107,2,1)</f>
        <v>N</v>
      </c>
      <c r="I93" s="2" t="str">
        <f>VLOOKUP(A93,Holidays!$A$2:$C$2107,3,1)</f>
        <v>N</v>
      </c>
    </row>
    <row r="94" spans="1:9" x14ac:dyDescent="0.45">
      <c r="A94" s="1">
        <v>42097</v>
      </c>
      <c r="B94">
        <v>98891.06</v>
      </c>
      <c r="C94">
        <v>20.9393785</v>
      </c>
      <c r="D94" s="2">
        <v>8</v>
      </c>
      <c r="E94" s="2">
        <v>20.9</v>
      </c>
      <c r="F94" s="2">
        <v>17.399999999999999</v>
      </c>
      <c r="G94" s="2">
        <v>0</v>
      </c>
      <c r="H94" s="2" t="str">
        <f>VLOOKUP(A94,Holidays!$A$2:$B$2107,2,1)</f>
        <v>N</v>
      </c>
      <c r="I94" s="2" t="str">
        <f>VLOOKUP(A94,Holidays!$A$2:$C$2107,3,1)</f>
        <v>Y</v>
      </c>
    </row>
    <row r="95" spans="1:9" x14ac:dyDescent="0.45">
      <c r="A95" s="1">
        <v>42098</v>
      </c>
      <c r="B95">
        <v>103999.17</v>
      </c>
      <c r="C95">
        <v>23.188056169999999</v>
      </c>
      <c r="D95" s="2">
        <v>8.5</v>
      </c>
      <c r="E95" s="2">
        <v>23.5</v>
      </c>
      <c r="F95" s="2">
        <v>16.2</v>
      </c>
      <c r="G95" s="2">
        <v>0</v>
      </c>
      <c r="H95" s="2" t="str">
        <f>VLOOKUP(A95,Holidays!$A$2:$B$2107,2,1)</f>
        <v>N</v>
      </c>
      <c r="I95" s="2" t="str">
        <f>VLOOKUP(A95,Holidays!$A$2:$C$2107,3,1)</f>
        <v>Y</v>
      </c>
    </row>
    <row r="96" spans="1:9" x14ac:dyDescent="0.45">
      <c r="A96" s="1">
        <v>42099</v>
      </c>
      <c r="B96">
        <v>103685.45</v>
      </c>
      <c r="C96">
        <v>20.508650379999999</v>
      </c>
      <c r="D96" s="2">
        <v>10.199999999999999</v>
      </c>
      <c r="E96" s="2">
        <v>18.5</v>
      </c>
      <c r="F96" s="2">
        <v>9.8000000000000007</v>
      </c>
      <c r="G96" s="2">
        <v>0</v>
      </c>
      <c r="H96" s="2" t="str">
        <f>VLOOKUP(A96,Holidays!$A$2:$B$2107,2,1)</f>
        <v>N</v>
      </c>
      <c r="I96" s="2" t="str">
        <f>VLOOKUP(A96,Holidays!$A$2:$C$2107,3,1)</f>
        <v>N</v>
      </c>
    </row>
    <row r="97" spans="1:9" x14ac:dyDescent="0.45">
      <c r="A97" s="1">
        <v>42100</v>
      </c>
      <c r="B97">
        <v>107383.37</v>
      </c>
      <c r="C97">
        <v>17.04855264</v>
      </c>
      <c r="D97" s="2">
        <v>11.2</v>
      </c>
      <c r="E97" s="2">
        <v>18.399999999999999</v>
      </c>
      <c r="F97" s="2">
        <v>13</v>
      </c>
      <c r="G97" s="2">
        <v>0</v>
      </c>
      <c r="H97" s="2" t="str">
        <f>VLOOKUP(A97,Holidays!$A$2:$B$2107,2,1)</f>
        <v>N</v>
      </c>
      <c r="I97" s="2" t="str">
        <f>VLOOKUP(A97,Holidays!$A$2:$C$2107,3,1)</f>
        <v>Y</v>
      </c>
    </row>
    <row r="98" spans="1:9" x14ac:dyDescent="0.45">
      <c r="A98" s="1">
        <v>42101</v>
      </c>
      <c r="B98">
        <v>120235.505</v>
      </c>
      <c r="C98">
        <v>21.359459990000001</v>
      </c>
      <c r="D98" s="2">
        <v>12.4</v>
      </c>
      <c r="E98" s="2">
        <v>17.3</v>
      </c>
      <c r="F98" s="2">
        <v>3.9</v>
      </c>
      <c r="G98" s="2">
        <v>0</v>
      </c>
      <c r="H98" s="2" t="str">
        <f>VLOOKUP(A98,Holidays!$A$2:$B$2107,2,1)</f>
        <v>N</v>
      </c>
      <c r="I98" s="2" t="str">
        <f>VLOOKUP(A98,Holidays!$A$2:$C$2107,3,1)</f>
        <v>N</v>
      </c>
    </row>
    <row r="99" spans="1:9" x14ac:dyDescent="0.45">
      <c r="A99" s="1">
        <v>42102</v>
      </c>
      <c r="B99">
        <v>122129.77499999999</v>
      </c>
      <c r="C99">
        <v>25.208016520000001</v>
      </c>
      <c r="D99" s="2">
        <v>13.3</v>
      </c>
      <c r="E99" s="2">
        <v>17.7</v>
      </c>
      <c r="F99" s="2">
        <v>12.6</v>
      </c>
      <c r="G99" s="2">
        <v>5.6</v>
      </c>
      <c r="H99" s="2" t="str">
        <f>VLOOKUP(A99,Holidays!$A$2:$B$2107,2,1)</f>
        <v>N</v>
      </c>
      <c r="I99" s="2" t="str">
        <f>VLOOKUP(A99,Holidays!$A$2:$C$2107,3,1)</f>
        <v>N</v>
      </c>
    </row>
    <row r="100" spans="1:9" x14ac:dyDescent="0.45">
      <c r="A100" s="1">
        <v>42103</v>
      </c>
      <c r="B100">
        <v>123990.76</v>
      </c>
      <c r="C100">
        <v>25.207800370000001</v>
      </c>
      <c r="D100" s="2">
        <v>8.6999999999999993</v>
      </c>
      <c r="E100" s="2">
        <v>19.100000000000001</v>
      </c>
      <c r="F100" s="2">
        <v>10.9</v>
      </c>
      <c r="G100" s="2">
        <v>0</v>
      </c>
      <c r="H100" s="2" t="str">
        <f>VLOOKUP(A100,Holidays!$A$2:$B$2107,2,1)</f>
        <v>N</v>
      </c>
      <c r="I100" s="2" t="str">
        <f>VLOOKUP(A100,Holidays!$A$2:$C$2107,3,1)</f>
        <v>N</v>
      </c>
    </row>
    <row r="101" spans="1:9" x14ac:dyDescent="0.45">
      <c r="A101" s="1">
        <v>42104</v>
      </c>
      <c r="B101">
        <v>121753.11500000001</v>
      </c>
      <c r="C101">
        <v>25.677110800000001</v>
      </c>
      <c r="D101" s="2">
        <v>8.6</v>
      </c>
      <c r="E101" s="2">
        <v>18.7</v>
      </c>
      <c r="F101" s="2">
        <v>15.9</v>
      </c>
      <c r="G101" s="2">
        <v>0</v>
      </c>
      <c r="H101" s="2" t="str">
        <f>VLOOKUP(A101,Holidays!$A$2:$B$2107,2,1)</f>
        <v>N</v>
      </c>
      <c r="I101" s="2" t="str">
        <f>VLOOKUP(A101,Holidays!$A$2:$C$2107,3,1)</f>
        <v>N</v>
      </c>
    </row>
    <row r="102" spans="1:9" x14ac:dyDescent="0.45">
      <c r="A102" s="1">
        <v>42105</v>
      </c>
      <c r="B102">
        <v>110034.16499999999</v>
      </c>
      <c r="C102">
        <v>23.05591231</v>
      </c>
      <c r="D102" s="2">
        <v>11.6</v>
      </c>
      <c r="E102" s="2">
        <v>23.7</v>
      </c>
      <c r="F102" s="2">
        <v>14.9</v>
      </c>
      <c r="G102" s="2">
        <v>0</v>
      </c>
      <c r="H102" s="2" t="str">
        <f>VLOOKUP(A102,Holidays!$A$2:$B$2107,2,1)</f>
        <v>N</v>
      </c>
      <c r="I102" s="2" t="str">
        <f>VLOOKUP(A102,Holidays!$A$2:$C$2107,3,1)</f>
        <v>N</v>
      </c>
    </row>
    <row r="103" spans="1:9" x14ac:dyDescent="0.45">
      <c r="A103" s="1">
        <v>42106</v>
      </c>
      <c r="B103">
        <v>103760.22500000001</v>
      </c>
      <c r="C103">
        <v>22.053037190000001</v>
      </c>
      <c r="D103" s="2">
        <v>12.1</v>
      </c>
      <c r="E103" s="2">
        <v>18.3</v>
      </c>
      <c r="F103" s="2">
        <v>13.4</v>
      </c>
      <c r="G103" s="2">
        <v>0</v>
      </c>
      <c r="H103" s="2" t="str">
        <f>VLOOKUP(A103,Holidays!$A$2:$B$2107,2,1)</f>
        <v>N</v>
      </c>
      <c r="I103" s="2" t="str">
        <f>VLOOKUP(A103,Holidays!$A$2:$C$2107,3,1)</f>
        <v>N</v>
      </c>
    </row>
    <row r="104" spans="1:9" x14ac:dyDescent="0.45">
      <c r="A104" s="1">
        <v>42107</v>
      </c>
      <c r="B104">
        <v>125107.78</v>
      </c>
      <c r="C104">
        <v>29.408289079999999</v>
      </c>
      <c r="D104" s="2">
        <v>7.3</v>
      </c>
      <c r="E104" s="2">
        <v>19.100000000000001</v>
      </c>
      <c r="F104" s="2">
        <v>14.9</v>
      </c>
      <c r="G104" s="2">
        <v>0</v>
      </c>
      <c r="H104" s="2" t="str">
        <f>VLOOKUP(A104,Holidays!$A$2:$B$2107,2,1)</f>
        <v>N</v>
      </c>
      <c r="I104" s="2" t="str">
        <f>VLOOKUP(A104,Holidays!$A$2:$C$2107,3,1)</f>
        <v>N</v>
      </c>
    </row>
    <row r="105" spans="1:9" x14ac:dyDescent="0.45">
      <c r="A105" s="1">
        <v>42108</v>
      </c>
      <c r="B105">
        <v>127793.38</v>
      </c>
      <c r="C105">
        <v>30.995175629999999</v>
      </c>
      <c r="D105" s="2">
        <v>10.5</v>
      </c>
      <c r="E105" s="2">
        <v>24.7</v>
      </c>
      <c r="F105" s="2">
        <v>8.4</v>
      </c>
      <c r="G105" s="2">
        <v>1.6</v>
      </c>
      <c r="H105" s="2" t="str">
        <f>VLOOKUP(A105,Holidays!$A$2:$B$2107,2,1)</f>
        <v>Y</v>
      </c>
      <c r="I105" s="2" t="str">
        <f>VLOOKUP(A105,Holidays!$A$2:$C$2107,3,1)</f>
        <v>N</v>
      </c>
    </row>
    <row r="106" spans="1:9" x14ac:dyDescent="0.45">
      <c r="A106" s="1">
        <v>42109</v>
      </c>
      <c r="B106">
        <v>126673.935</v>
      </c>
      <c r="C106">
        <v>31.090558479999999</v>
      </c>
      <c r="D106" s="2">
        <v>13.9</v>
      </c>
      <c r="E106" s="2">
        <v>27.6</v>
      </c>
      <c r="F106" s="2">
        <v>12.8</v>
      </c>
      <c r="G106" s="2">
        <v>2.4</v>
      </c>
      <c r="H106" s="2" t="str">
        <f>VLOOKUP(A106,Holidays!$A$2:$B$2107,2,1)</f>
        <v>Y</v>
      </c>
      <c r="I106" s="2" t="str">
        <f>VLOOKUP(A106,Holidays!$A$2:$C$2107,3,1)</f>
        <v>N</v>
      </c>
    </row>
    <row r="107" spans="1:9" x14ac:dyDescent="0.45">
      <c r="A107" s="1">
        <v>42110</v>
      </c>
      <c r="B107">
        <v>126937.94</v>
      </c>
      <c r="C107">
        <v>40.68150885</v>
      </c>
      <c r="D107" s="2">
        <v>15.6</v>
      </c>
      <c r="E107" s="2">
        <v>17.8</v>
      </c>
      <c r="F107" s="2">
        <v>10.9</v>
      </c>
      <c r="G107" s="2">
        <v>0</v>
      </c>
      <c r="H107" s="2" t="str">
        <f>VLOOKUP(A107,Holidays!$A$2:$B$2107,2,1)</f>
        <v>Y</v>
      </c>
      <c r="I107" s="2" t="str">
        <f>VLOOKUP(A107,Holidays!$A$2:$C$2107,3,1)</f>
        <v>N</v>
      </c>
    </row>
    <row r="108" spans="1:9" x14ac:dyDescent="0.45">
      <c r="A108" s="1">
        <v>42111</v>
      </c>
      <c r="B108">
        <v>131031.41499999999</v>
      </c>
      <c r="C108">
        <v>33.987504819999998</v>
      </c>
      <c r="D108" s="2">
        <v>10.1</v>
      </c>
      <c r="E108" s="2">
        <v>17.100000000000001</v>
      </c>
      <c r="F108" s="2">
        <v>7.5</v>
      </c>
      <c r="G108" s="2">
        <v>0</v>
      </c>
      <c r="H108" s="2" t="str">
        <f>VLOOKUP(A108,Holidays!$A$2:$B$2107,2,1)</f>
        <v>Y</v>
      </c>
      <c r="I108" s="2" t="str">
        <f>VLOOKUP(A108,Holidays!$A$2:$C$2107,3,1)</f>
        <v>N</v>
      </c>
    </row>
    <row r="109" spans="1:9" x14ac:dyDescent="0.45">
      <c r="A109" s="1">
        <v>42112</v>
      </c>
      <c r="B109">
        <v>109763.985</v>
      </c>
      <c r="C109">
        <v>26.14012894</v>
      </c>
      <c r="D109" s="2">
        <v>13.5</v>
      </c>
      <c r="E109" s="2">
        <v>21.9</v>
      </c>
      <c r="F109" s="2">
        <v>9.9</v>
      </c>
      <c r="G109" s="2">
        <v>3.6</v>
      </c>
      <c r="H109" s="2" t="str">
        <f>VLOOKUP(A109,Holidays!$A$2:$B$2107,2,1)</f>
        <v>Y</v>
      </c>
      <c r="I109" s="2" t="str">
        <f>VLOOKUP(A109,Holidays!$A$2:$C$2107,3,1)</f>
        <v>N</v>
      </c>
    </row>
    <row r="110" spans="1:9" x14ac:dyDescent="0.45">
      <c r="A110" s="1">
        <v>42113</v>
      </c>
      <c r="B110">
        <v>107160.54</v>
      </c>
      <c r="C110">
        <v>24.540694439999999</v>
      </c>
      <c r="D110" s="2">
        <v>9.6999999999999993</v>
      </c>
      <c r="E110" s="2">
        <v>14.7</v>
      </c>
      <c r="F110" s="2">
        <v>11</v>
      </c>
      <c r="G110" s="2">
        <v>6.4</v>
      </c>
      <c r="H110" s="2" t="str">
        <f>VLOOKUP(A110,Holidays!$A$2:$B$2107,2,1)</f>
        <v>Y</v>
      </c>
      <c r="I110" s="2" t="str">
        <f>VLOOKUP(A110,Holidays!$A$2:$C$2107,3,1)</f>
        <v>N</v>
      </c>
    </row>
    <row r="111" spans="1:9" x14ac:dyDescent="0.45">
      <c r="A111" s="1">
        <v>42114</v>
      </c>
      <c r="B111">
        <v>126696.19</v>
      </c>
      <c r="C111">
        <v>33.677175830000003</v>
      </c>
      <c r="D111" s="2">
        <v>7</v>
      </c>
      <c r="E111" s="2">
        <v>16.2</v>
      </c>
      <c r="F111" s="2">
        <v>12.7</v>
      </c>
      <c r="G111" s="2">
        <v>1.4</v>
      </c>
      <c r="H111" s="2" t="str">
        <f>VLOOKUP(A111,Holidays!$A$2:$B$2107,2,1)</f>
        <v>Y</v>
      </c>
      <c r="I111" s="2" t="str">
        <f>VLOOKUP(A111,Holidays!$A$2:$C$2107,3,1)</f>
        <v>N</v>
      </c>
    </row>
    <row r="112" spans="1:9" x14ac:dyDescent="0.45">
      <c r="A112" s="1">
        <v>42115</v>
      </c>
      <c r="B112">
        <v>127973.58500000001</v>
      </c>
      <c r="C112">
        <v>30.473156899999999</v>
      </c>
      <c r="D112" s="2">
        <v>6.5</v>
      </c>
      <c r="E112" s="2">
        <v>17.7</v>
      </c>
      <c r="F112" s="2">
        <v>13.8</v>
      </c>
      <c r="G112" s="2">
        <v>0</v>
      </c>
      <c r="H112" s="2" t="str">
        <f>VLOOKUP(A112,Holidays!$A$2:$B$2107,2,1)</f>
        <v>Y</v>
      </c>
      <c r="I112" s="2" t="str">
        <f>VLOOKUP(A112,Holidays!$A$2:$C$2107,3,1)</f>
        <v>N</v>
      </c>
    </row>
    <row r="113" spans="1:9" x14ac:dyDescent="0.45">
      <c r="A113" s="1">
        <v>42116</v>
      </c>
      <c r="B113">
        <v>128598.495</v>
      </c>
      <c r="C113">
        <v>36.695283570000001</v>
      </c>
      <c r="D113" s="2">
        <v>9.1</v>
      </c>
      <c r="E113" s="2">
        <v>19.5</v>
      </c>
      <c r="F113" s="2">
        <v>7.1</v>
      </c>
      <c r="G113" s="2">
        <v>0</v>
      </c>
      <c r="H113" s="2" t="str">
        <f>VLOOKUP(A113,Holidays!$A$2:$B$2107,2,1)</f>
        <v>Y</v>
      </c>
      <c r="I113" s="2" t="str">
        <f>VLOOKUP(A113,Holidays!$A$2:$C$2107,3,1)</f>
        <v>N</v>
      </c>
    </row>
    <row r="114" spans="1:9" x14ac:dyDescent="0.45">
      <c r="A114" s="1">
        <v>42117</v>
      </c>
      <c r="B114">
        <v>126483.80499999999</v>
      </c>
      <c r="C114">
        <v>35.422484740000002</v>
      </c>
      <c r="D114" s="2">
        <v>12.2</v>
      </c>
      <c r="E114" s="2">
        <v>19.2</v>
      </c>
      <c r="F114" s="2">
        <v>7.5</v>
      </c>
      <c r="G114" s="2">
        <v>0</v>
      </c>
      <c r="H114" s="2" t="str">
        <f>VLOOKUP(A114,Holidays!$A$2:$B$2107,2,1)</f>
        <v>Y</v>
      </c>
      <c r="I114" s="2" t="str">
        <f>VLOOKUP(A114,Holidays!$A$2:$C$2107,3,1)</f>
        <v>N</v>
      </c>
    </row>
    <row r="115" spans="1:9" x14ac:dyDescent="0.45">
      <c r="A115" s="1">
        <v>42118</v>
      </c>
      <c r="B115">
        <v>126230.785</v>
      </c>
      <c r="C115">
        <v>36.497936299999999</v>
      </c>
      <c r="D115" s="2">
        <v>14.4</v>
      </c>
      <c r="E115" s="2">
        <v>21.1</v>
      </c>
      <c r="F115" s="2">
        <v>7.8</v>
      </c>
      <c r="G115" s="2">
        <v>0</v>
      </c>
      <c r="H115" s="2" t="str">
        <f>VLOOKUP(A115,Holidays!$A$2:$B$2107,2,1)</f>
        <v>Y</v>
      </c>
      <c r="I115" s="2" t="str">
        <f>VLOOKUP(A115,Holidays!$A$2:$C$2107,3,1)</f>
        <v>N</v>
      </c>
    </row>
    <row r="116" spans="1:9" x14ac:dyDescent="0.45">
      <c r="A116" s="1">
        <v>42119</v>
      </c>
      <c r="B116">
        <v>111803.625</v>
      </c>
      <c r="C116">
        <v>25.97830858</v>
      </c>
      <c r="D116" s="2">
        <v>11.6</v>
      </c>
      <c r="E116" s="2">
        <v>15</v>
      </c>
      <c r="F116" s="2">
        <v>3.5</v>
      </c>
      <c r="G116" s="2">
        <v>3</v>
      </c>
      <c r="H116" s="2" t="str">
        <f>VLOOKUP(A116,Holidays!$A$2:$B$2107,2,1)</f>
        <v>Y</v>
      </c>
      <c r="I116" s="2" t="str">
        <f>VLOOKUP(A116,Holidays!$A$2:$C$2107,3,1)</f>
        <v>Y</v>
      </c>
    </row>
    <row r="117" spans="1:9" x14ac:dyDescent="0.45">
      <c r="A117" s="1">
        <v>42120</v>
      </c>
      <c r="B117">
        <v>108217.82</v>
      </c>
      <c r="C117">
        <v>28.955419760000002</v>
      </c>
      <c r="D117" s="2">
        <v>10.4</v>
      </c>
      <c r="E117" s="2">
        <v>15.4</v>
      </c>
      <c r="F117" s="2">
        <v>5.9</v>
      </c>
      <c r="G117" s="2">
        <v>7</v>
      </c>
      <c r="H117" s="2" t="str">
        <f>VLOOKUP(A117,Holidays!$A$2:$B$2107,2,1)</f>
        <v>Y</v>
      </c>
      <c r="I117" s="2" t="str">
        <f>VLOOKUP(A117,Holidays!$A$2:$C$2107,3,1)</f>
        <v>N</v>
      </c>
    </row>
    <row r="118" spans="1:9" x14ac:dyDescent="0.45">
      <c r="A118" s="1">
        <v>42121</v>
      </c>
      <c r="B118">
        <v>127855.22</v>
      </c>
      <c r="C118">
        <v>48.673068360000002</v>
      </c>
      <c r="D118" s="2">
        <v>10.5</v>
      </c>
      <c r="E118" s="2">
        <v>15.1</v>
      </c>
      <c r="F118" s="2">
        <v>8.3000000000000007</v>
      </c>
      <c r="G118" s="2">
        <v>4</v>
      </c>
      <c r="H118" s="2" t="str">
        <f>VLOOKUP(A118,Holidays!$A$2:$B$2107,2,1)</f>
        <v>Y</v>
      </c>
      <c r="I118" s="2" t="str">
        <f>VLOOKUP(A118,Holidays!$A$2:$C$2107,3,1)</f>
        <v>N</v>
      </c>
    </row>
    <row r="119" spans="1:9" x14ac:dyDescent="0.45">
      <c r="A119" s="1">
        <v>42122</v>
      </c>
      <c r="B119">
        <v>132642.14000000001</v>
      </c>
      <c r="C119">
        <v>46.268034399999998</v>
      </c>
      <c r="D119" s="2">
        <v>10.1</v>
      </c>
      <c r="E119" s="2">
        <v>16</v>
      </c>
      <c r="F119" s="2">
        <v>8.9</v>
      </c>
      <c r="G119" s="2">
        <v>1.6</v>
      </c>
      <c r="H119" s="2" t="str">
        <f>VLOOKUP(A119,Holidays!$A$2:$B$2107,2,1)</f>
        <v>Y</v>
      </c>
      <c r="I119" s="2" t="str">
        <f>VLOOKUP(A119,Holidays!$A$2:$C$2107,3,1)</f>
        <v>N</v>
      </c>
    </row>
    <row r="120" spans="1:9" x14ac:dyDescent="0.45">
      <c r="A120" s="1">
        <v>42123</v>
      </c>
      <c r="B120">
        <v>132814.61499999999</v>
      </c>
      <c r="C120">
        <v>39.829820890000001</v>
      </c>
      <c r="D120" s="2">
        <v>7.4</v>
      </c>
      <c r="E120" s="2">
        <v>17.100000000000001</v>
      </c>
      <c r="F120" s="2">
        <v>12.6</v>
      </c>
      <c r="G120" s="2">
        <v>0</v>
      </c>
      <c r="H120" s="2" t="str">
        <f>VLOOKUP(A120,Holidays!$A$2:$B$2107,2,1)</f>
        <v>Y</v>
      </c>
      <c r="I120" s="2" t="str">
        <f>VLOOKUP(A120,Holidays!$A$2:$C$2107,3,1)</f>
        <v>N</v>
      </c>
    </row>
    <row r="121" spans="1:9" x14ac:dyDescent="0.45">
      <c r="A121" s="1">
        <v>42124</v>
      </c>
      <c r="B121">
        <v>132669.57999999999</v>
      </c>
      <c r="C121">
        <v>39.092652309999998</v>
      </c>
      <c r="D121" s="2">
        <v>6.4</v>
      </c>
      <c r="E121" s="2">
        <v>19.600000000000001</v>
      </c>
      <c r="F121" s="2">
        <v>12.3</v>
      </c>
      <c r="G121" s="2">
        <v>0</v>
      </c>
      <c r="H121" s="2" t="str">
        <f>VLOOKUP(A121,Holidays!$A$2:$B$2107,2,1)</f>
        <v>Y</v>
      </c>
      <c r="I121" s="2" t="str">
        <f>VLOOKUP(A121,Holidays!$A$2:$C$2107,3,1)</f>
        <v>N</v>
      </c>
    </row>
    <row r="122" spans="1:9" x14ac:dyDescent="0.45">
      <c r="A122" s="1">
        <v>42125</v>
      </c>
      <c r="B122">
        <v>126304.44500000001</v>
      </c>
      <c r="C122">
        <v>47.474462099999997</v>
      </c>
      <c r="D122" s="2">
        <v>7.9</v>
      </c>
      <c r="E122" s="2">
        <v>23.1</v>
      </c>
      <c r="F122" s="2">
        <v>12.1</v>
      </c>
      <c r="G122" s="2">
        <v>0</v>
      </c>
      <c r="H122" s="2" t="str">
        <f>VLOOKUP(A122,Holidays!$A$2:$B$2107,2,1)</f>
        <v>Y</v>
      </c>
      <c r="I122" s="2" t="str">
        <f>VLOOKUP(A122,Holidays!$A$2:$C$2107,3,1)</f>
        <v>N</v>
      </c>
    </row>
    <row r="123" spans="1:9" x14ac:dyDescent="0.45">
      <c r="A123" s="1">
        <v>42126</v>
      </c>
      <c r="B123">
        <v>108487.97500000001</v>
      </c>
      <c r="C123">
        <v>25.852039900000001</v>
      </c>
      <c r="D123" s="2">
        <v>11.6</v>
      </c>
      <c r="E123" s="2">
        <v>22.2</v>
      </c>
      <c r="F123" s="2">
        <v>6.1</v>
      </c>
      <c r="G123" s="2">
        <v>0</v>
      </c>
      <c r="H123" s="2" t="str">
        <f>VLOOKUP(A123,Holidays!$A$2:$B$2107,2,1)</f>
        <v>Y</v>
      </c>
      <c r="I123" s="2" t="str">
        <f>VLOOKUP(A123,Holidays!$A$2:$C$2107,3,1)</f>
        <v>N</v>
      </c>
    </row>
    <row r="124" spans="1:9" x14ac:dyDescent="0.45">
      <c r="A124" s="1">
        <v>42127</v>
      </c>
      <c r="B124">
        <v>109233.34</v>
      </c>
      <c r="C124">
        <v>30.627063069999998</v>
      </c>
      <c r="D124" s="2">
        <v>9.6999999999999993</v>
      </c>
      <c r="E124" s="2">
        <v>18.2</v>
      </c>
      <c r="F124" s="2">
        <v>11.2</v>
      </c>
      <c r="G124" s="2">
        <v>0</v>
      </c>
      <c r="H124" s="2" t="str">
        <f>VLOOKUP(A124,Holidays!$A$2:$B$2107,2,1)</f>
        <v>Y</v>
      </c>
      <c r="I124" s="2" t="str">
        <f>VLOOKUP(A124,Holidays!$A$2:$C$2107,3,1)</f>
        <v>N</v>
      </c>
    </row>
    <row r="125" spans="1:9" x14ac:dyDescent="0.45">
      <c r="A125" s="1">
        <v>42128</v>
      </c>
      <c r="B125">
        <v>122375.47</v>
      </c>
      <c r="C125">
        <v>28.803037939999999</v>
      </c>
      <c r="D125" s="2">
        <v>7.5</v>
      </c>
      <c r="E125" s="2">
        <v>22.3</v>
      </c>
      <c r="F125" s="2">
        <v>11.6</v>
      </c>
      <c r="G125" s="2">
        <v>0</v>
      </c>
      <c r="H125" s="2" t="str">
        <f>VLOOKUP(A125,Holidays!$A$2:$B$2107,2,1)</f>
        <v>Y</v>
      </c>
      <c r="I125" s="2" t="str">
        <f>VLOOKUP(A125,Holidays!$A$2:$C$2107,3,1)</f>
        <v>N</v>
      </c>
    </row>
    <row r="126" spans="1:9" x14ac:dyDescent="0.45">
      <c r="A126" s="1">
        <v>42129</v>
      </c>
      <c r="B126">
        <v>123734.86500000001</v>
      </c>
      <c r="C126">
        <v>27.383343969999999</v>
      </c>
      <c r="D126" s="2">
        <v>9.1999999999999993</v>
      </c>
      <c r="E126" s="2">
        <v>18.100000000000001</v>
      </c>
      <c r="F126" s="2">
        <v>7.1</v>
      </c>
      <c r="G126" s="2">
        <v>0.6</v>
      </c>
      <c r="H126" s="2" t="str">
        <f>VLOOKUP(A126,Holidays!$A$2:$B$2107,2,1)</f>
        <v>Y</v>
      </c>
      <c r="I126" s="2" t="str">
        <f>VLOOKUP(A126,Holidays!$A$2:$C$2107,3,1)</f>
        <v>N</v>
      </c>
    </row>
    <row r="127" spans="1:9" x14ac:dyDescent="0.45">
      <c r="A127" s="1">
        <v>42130</v>
      </c>
      <c r="B127">
        <v>129121.86</v>
      </c>
      <c r="C127">
        <v>26.022589379999999</v>
      </c>
      <c r="D127" s="2">
        <v>9.5</v>
      </c>
      <c r="E127" s="2">
        <v>16.2</v>
      </c>
      <c r="F127" s="2">
        <v>7.6</v>
      </c>
      <c r="G127" s="2">
        <v>1.4</v>
      </c>
      <c r="H127" s="2" t="str">
        <f>VLOOKUP(A127,Holidays!$A$2:$B$2107,2,1)</f>
        <v>Y</v>
      </c>
      <c r="I127" s="2" t="str">
        <f>VLOOKUP(A127,Holidays!$A$2:$C$2107,3,1)</f>
        <v>N</v>
      </c>
    </row>
    <row r="128" spans="1:9" x14ac:dyDescent="0.45">
      <c r="A128" s="1">
        <v>42131</v>
      </c>
      <c r="B128">
        <v>131237.185</v>
      </c>
      <c r="C128">
        <v>29.082030029999999</v>
      </c>
      <c r="D128" s="2">
        <v>10.3</v>
      </c>
      <c r="E128" s="2">
        <v>15.6</v>
      </c>
      <c r="F128" s="2">
        <v>6.9</v>
      </c>
      <c r="G128" s="2">
        <v>2.2000000000000002</v>
      </c>
      <c r="H128" s="2" t="str">
        <f>VLOOKUP(A128,Holidays!$A$2:$B$2107,2,1)</f>
        <v>Y</v>
      </c>
      <c r="I128" s="2" t="str">
        <f>VLOOKUP(A128,Holidays!$A$2:$C$2107,3,1)</f>
        <v>N</v>
      </c>
    </row>
    <row r="129" spans="1:9" x14ac:dyDescent="0.45">
      <c r="A129" s="1">
        <v>42132</v>
      </c>
      <c r="B129">
        <v>131138.73000000001</v>
      </c>
      <c r="C129">
        <v>29.075609050000001</v>
      </c>
      <c r="D129" s="2">
        <v>10.5</v>
      </c>
      <c r="E129" s="2">
        <v>15.9</v>
      </c>
      <c r="F129" s="2">
        <v>5.9</v>
      </c>
      <c r="G129" s="2">
        <v>0.2</v>
      </c>
      <c r="H129" s="2" t="str">
        <f>VLOOKUP(A129,Holidays!$A$2:$B$2107,2,1)</f>
        <v>Y</v>
      </c>
      <c r="I129" s="2" t="str">
        <f>VLOOKUP(A129,Holidays!$A$2:$C$2107,3,1)</f>
        <v>N</v>
      </c>
    </row>
    <row r="130" spans="1:9" x14ac:dyDescent="0.45">
      <c r="A130" s="1">
        <v>42133</v>
      </c>
      <c r="B130">
        <v>108377.05</v>
      </c>
      <c r="C130">
        <v>19.602360470000001</v>
      </c>
      <c r="D130" s="2">
        <v>12.8</v>
      </c>
      <c r="E130" s="2">
        <v>18.7</v>
      </c>
      <c r="F130" s="2">
        <v>7.3</v>
      </c>
      <c r="G130" s="2">
        <v>0</v>
      </c>
      <c r="H130" s="2" t="str">
        <f>VLOOKUP(A130,Holidays!$A$2:$B$2107,2,1)</f>
        <v>Y</v>
      </c>
      <c r="I130" s="2" t="str">
        <f>VLOOKUP(A130,Holidays!$A$2:$C$2107,3,1)</f>
        <v>N</v>
      </c>
    </row>
    <row r="131" spans="1:9" x14ac:dyDescent="0.45">
      <c r="A131" s="1">
        <v>42134</v>
      </c>
      <c r="B131">
        <v>103811.28</v>
      </c>
      <c r="C131">
        <v>13.279840760000001</v>
      </c>
      <c r="D131" s="2">
        <v>12.8</v>
      </c>
      <c r="E131" s="2">
        <v>16.600000000000001</v>
      </c>
      <c r="F131" s="2">
        <v>5.9</v>
      </c>
      <c r="G131" s="2">
        <v>8.6</v>
      </c>
      <c r="H131" s="2" t="str">
        <f>VLOOKUP(A131,Holidays!$A$2:$B$2107,2,1)</f>
        <v>Y</v>
      </c>
      <c r="I131" s="2" t="str">
        <f>VLOOKUP(A131,Holidays!$A$2:$C$2107,3,1)</f>
        <v>N</v>
      </c>
    </row>
    <row r="132" spans="1:9" x14ac:dyDescent="0.45">
      <c r="A132" s="1">
        <v>42135</v>
      </c>
      <c r="B132">
        <v>123740.245</v>
      </c>
      <c r="C132">
        <v>28.475489379999999</v>
      </c>
      <c r="D132" s="2">
        <v>12.4</v>
      </c>
      <c r="E132" s="2">
        <v>15.9</v>
      </c>
      <c r="F132" s="2">
        <v>7.9</v>
      </c>
      <c r="G132" s="2">
        <v>2.6</v>
      </c>
      <c r="H132" s="2" t="str">
        <f>VLOOKUP(A132,Holidays!$A$2:$B$2107,2,1)</f>
        <v>Y</v>
      </c>
      <c r="I132" s="2" t="str">
        <f>VLOOKUP(A132,Holidays!$A$2:$C$2107,3,1)</f>
        <v>N</v>
      </c>
    </row>
    <row r="133" spans="1:9" x14ac:dyDescent="0.45">
      <c r="A133" s="1">
        <v>42136</v>
      </c>
      <c r="B133">
        <v>129312.58</v>
      </c>
      <c r="C133">
        <v>28.355358970000001</v>
      </c>
      <c r="D133" s="2">
        <v>12.8</v>
      </c>
      <c r="E133" s="2">
        <v>17.399999999999999</v>
      </c>
      <c r="F133" s="2">
        <v>5.9</v>
      </c>
      <c r="G133" s="2">
        <v>0</v>
      </c>
      <c r="H133" s="2" t="str">
        <f>VLOOKUP(A133,Holidays!$A$2:$B$2107,2,1)</f>
        <v>Y</v>
      </c>
      <c r="I133" s="2" t="str">
        <f>VLOOKUP(A133,Holidays!$A$2:$C$2107,3,1)</f>
        <v>N</v>
      </c>
    </row>
    <row r="134" spans="1:9" x14ac:dyDescent="0.45">
      <c r="A134" s="1">
        <v>42137</v>
      </c>
      <c r="B134">
        <v>136903.26999999999</v>
      </c>
      <c r="C134">
        <v>33.602901799999998</v>
      </c>
      <c r="D134" s="2">
        <v>6.3</v>
      </c>
      <c r="E134" s="2">
        <v>12.8</v>
      </c>
      <c r="F134" s="2">
        <v>8.6999999999999993</v>
      </c>
      <c r="G134" s="2">
        <v>6.8</v>
      </c>
      <c r="H134" s="2" t="str">
        <f>VLOOKUP(A134,Holidays!$A$2:$B$2107,2,1)</f>
        <v>Y</v>
      </c>
      <c r="I134" s="2" t="str">
        <f>VLOOKUP(A134,Holidays!$A$2:$C$2107,3,1)</f>
        <v>N</v>
      </c>
    </row>
    <row r="135" spans="1:9" x14ac:dyDescent="0.45">
      <c r="A135" s="1">
        <v>42138</v>
      </c>
      <c r="B135">
        <v>135217.65</v>
      </c>
      <c r="C135">
        <v>36.084976089999998</v>
      </c>
      <c r="D135" s="2">
        <v>7.3</v>
      </c>
      <c r="E135" s="2">
        <v>14.6</v>
      </c>
      <c r="F135" s="2">
        <v>6.7</v>
      </c>
      <c r="G135" s="2">
        <v>4.4000000000000004</v>
      </c>
      <c r="H135" s="2" t="str">
        <f>VLOOKUP(A135,Holidays!$A$2:$B$2107,2,1)</f>
        <v>Y</v>
      </c>
      <c r="I135" s="2" t="str">
        <f>VLOOKUP(A135,Holidays!$A$2:$C$2107,3,1)</f>
        <v>N</v>
      </c>
    </row>
    <row r="136" spans="1:9" x14ac:dyDescent="0.45">
      <c r="A136" s="1">
        <v>42139</v>
      </c>
      <c r="B136">
        <v>135172.41</v>
      </c>
      <c r="C136">
        <v>32.888201889999998</v>
      </c>
      <c r="D136" s="2">
        <v>11.5</v>
      </c>
      <c r="E136" s="2">
        <v>14.5</v>
      </c>
      <c r="F136" s="2">
        <v>6.2</v>
      </c>
      <c r="G136" s="2">
        <v>1.8</v>
      </c>
      <c r="H136" s="2" t="str">
        <f>VLOOKUP(A136,Holidays!$A$2:$B$2107,2,1)</f>
        <v>Y</v>
      </c>
      <c r="I136" s="2" t="str">
        <f>VLOOKUP(A136,Holidays!$A$2:$C$2107,3,1)</f>
        <v>N</v>
      </c>
    </row>
    <row r="137" spans="1:9" x14ac:dyDescent="0.45">
      <c r="A137" s="1">
        <v>42140</v>
      </c>
      <c r="B137">
        <v>117136.63</v>
      </c>
      <c r="C137">
        <v>35.11935553</v>
      </c>
      <c r="D137" s="2">
        <v>11.3</v>
      </c>
      <c r="E137" s="2">
        <v>16.2</v>
      </c>
      <c r="F137" s="2">
        <v>10.4</v>
      </c>
      <c r="G137" s="2">
        <v>0</v>
      </c>
      <c r="H137" s="2" t="str">
        <f>VLOOKUP(A137,Holidays!$A$2:$B$2107,2,1)</f>
        <v>Y</v>
      </c>
      <c r="I137" s="2" t="str">
        <f>VLOOKUP(A137,Holidays!$A$2:$C$2107,3,1)</f>
        <v>N</v>
      </c>
    </row>
    <row r="138" spans="1:9" x14ac:dyDescent="0.45">
      <c r="A138" s="1">
        <v>42141</v>
      </c>
      <c r="B138">
        <v>111897.08500000001</v>
      </c>
      <c r="C138">
        <v>30.547599470000002</v>
      </c>
      <c r="D138" s="2">
        <v>7.4</v>
      </c>
      <c r="E138" s="2">
        <v>20.5</v>
      </c>
      <c r="F138" s="2">
        <v>10.3</v>
      </c>
      <c r="G138" s="2">
        <v>0</v>
      </c>
      <c r="H138" s="2" t="str">
        <f>VLOOKUP(A138,Holidays!$A$2:$B$2107,2,1)</f>
        <v>Y</v>
      </c>
      <c r="I138" s="2" t="str">
        <f>VLOOKUP(A138,Holidays!$A$2:$C$2107,3,1)</f>
        <v>N</v>
      </c>
    </row>
    <row r="139" spans="1:9" x14ac:dyDescent="0.45">
      <c r="A139" s="1">
        <v>42142</v>
      </c>
      <c r="B139">
        <v>127524.8</v>
      </c>
      <c r="C139">
        <v>39.33371288</v>
      </c>
      <c r="D139" s="2">
        <v>7.2</v>
      </c>
      <c r="E139" s="2">
        <v>20.399999999999999</v>
      </c>
      <c r="F139" s="2">
        <v>10.199999999999999</v>
      </c>
      <c r="G139" s="2">
        <v>0</v>
      </c>
      <c r="H139" s="2" t="str">
        <f>VLOOKUP(A139,Holidays!$A$2:$B$2107,2,1)</f>
        <v>Y</v>
      </c>
      <c r="I139" s="2" t="str">
        <f>VLOOKUP(A139,Holidays!$A$2:$C$2107,3,1)</f>
        <v>N</v>
      </c>
    </row>
    <row r="140" spans="1:9" x14ac:dyDescent="0.45">
      <c r="A140" s="1">
        <v>42143</v>
      </c>
      <c r="B140">
        <v>133235.48000000001</v>
      </c>
      <c r="C140">
        <v>34.038317739999997</v>
      </c>
      <c r="D140" s="2">
        <v>9.9</v>
      </c>
      <c r="E140" s="2">
        <v>16.2</v>
      </c>
      <c r="F140" s="2">
        <v>3.2</v>
      </c>
      <c r="G140" s="2">
        <v>0</v>
      </c>
      <c r="H140" s="2" t="str">
        <f>VLOOKUP(A140,Holidays!$A$2:$B$2107,2,1)</f>
        <v>Y</v>
      </c>
      <c r="I140" s="2" t="str">
        <f>VLOOKUP(A140,Holidays!$A$2:$C$2107,3,1)</f>
        <v>N</v>
      </c>
    </row>
    <row r="141" spans="1:9" x14ac:dyDescent="0.45">
      <c r="A141" s="1">
        <v>42144</v>
      </c>
      <c r="B141">
        <v>127522.71</v>
      </c>
      <c r="C141">
        <v>30.976086030000001</v>
      </c>
      <c r="D141" s="2">
        <v>13.6</v>
      </c>
      <c r="E141" s="2">
        <v>18.100000000000001</v>
      </c>
      <c r="F141" s="2">
        <v>6</v>
      </c>
      <c r="G141" s="2">
        <v>2.4</v>
      </c>
      <c r="H141" s="2" t="str">
        <f>VLOOKUP(A141,Holidays!$A$2:$B$2107,2,1)</f>
        <v>Y</v>
      </c>
      <c r="I141" s="2" t="str">
        <f>VLOOKUP(A141,Holidays!$A$2:$C$2107,3,1)</f>
        <v>N</v>
      </c>
    </row>
    <row r="142" spans="1:9" x14ac:dyDescent="0.45">
      <c r="A142" s="1">
        <v>42145</v>
      </c>
      <c r="B142">
        <v>135361.19500000001</v>
      </c>
      <c r="C142">
        <v>35.621998429999998</v>
      </c>
      <c r="D142" s="2">
        <v>10.3</v>
      </c>
      <c r="E142" s="2">
        <v>13.6</v>
      </c>
      <c r="F142" s="2">
        <v>3.5</v>
      </c>
      <c r="G142" s="2">
        <v>6.2</v>
      </c>
      <c r="H142" s="2" t="str">
        <f>VLOOKUP(A142,Holidays!$A$2:$B$2107,2,1)</f>
        <v>Y</v>
      </c>
      <c r="I142" s="2" t="str">
        <f>VLOOKUP(A142,Holidays!$A$2:$C$2107,3,1)</f>
        <v>N</v>
      </c>
    </row>
    <row r="143" spans="1:9" x14ac:dyDescent="0.45">
      <c r="A143" s="1">
        <v>42146</v>
      </c>
      <c r="B143">
        <v>133422.46</v>
      </c>
      <c r="C143">
        <v>34.614105330000001</v>
      </c>
      <c r="D143" s="2">
        <v>9.1</v>
      </c>
      <c r="E143" s="2">
        <v>14.1</v>
      </c>
      <c r="F143" s="2">
        <v>6.7</v>
      </c>
      <c r="G143" s="2">
        <v>0.4</v>
      </c>
      <c r="H143" s="2" t="str">
        <f>VLOOKUP(A143,Holidays!$A$2:$B$2107,2,1)</f>
        <v>Y</v>
      </c>
      <c r="I143" s="2" t="str">
        <f>VLOOKUP(A143,Holidays!$A$2:$C$2107,3,1)</f>
        <v>N</v>
      </c>
    </row>
    <row r="144" spans="1:9" x14ac:dyDescent="0.45">
      <c r="A144" s="1">
        <v>42147</v>
      </c>
      <c r="B144">
        <v>119331.85</v>
      </c>
      <c r="C144">
        <v>31.22698432</v>
      </c>
      <c r="D144" s="2">
        <v>10.4</v>
      </c>
      <c r="E144" s="2">
        <v>13.3</v>
      </c>
      <c r="F144" s="2">
        <v>7.7</v>
      </c>
      <c r="G144" s="2">
        <v>0</v>
      </c>
      <c r="H144" s="2" t="str">
        <f>VLOOKUP(A144,Holidays!$A$2:$B$2107,2,1)</f>
        <v>Y</v>
      </c>
      <c r="I144" s="2" t="str">
        <f>VLOOKUP(A144,Holidays!$A$2:$C$2107,3,1)</f>
        <v>N</v>
      </c>
    </row>
    <row r="145" spans="1:9" x14ac:dyDescent="0.45">
      <c r="A145" s="1">
        <v>42148</v>
      </c>
      <c r="B145">
        <v>118783.08500000001</v>
      </c>
      <c r="C145">
        <v>31.493258560000001</v>
      </c>
      <c r="D145" s="2">
        <v>6</v>
      </c>
      <c r="E145" s="2">
        <v>15.6</v>
      </c>
      <c r="F145" s="2">
        <v>8.6</v>
      </c>
      <c r="G145" s="2">
        <v>0</v>
      </c>
      <c r="H145" s="2" t="str">
        <f>VLOOKUP(A145,Holidays!$A$2:$B$2107,2,1)</f>
        <v>Y</v>
      </c>
      <c r="I145" s="2" t="str">
        <f>VLOOKUP(A145,Holidays!$A$2:$C$2107,3,1)</f>
        <v>N</v>
      </c>
    </row>
    <row r="146" spans="1:9" x14ac:dyDescent="0.45">
      <c r="A146" s="1">
        <v>42149</v>
      </c>
      <c r="B146">
        <v>136690.92000000001</v>
      </c>
      <c r="C146">
        <v>51.610330150000003</v>
      </c>
      <c r="D146" s="2">
        <v>7.4</v>
      </c>
      <c r="E146" s="2">
        <v>17.100000000000001</v>
      </c>
      <c r="F146" s="2">
        <v>8.1</v>
      </c>
      <c r="G146" s="2">
        <v>0</v>
      </c>
      <c r="H146" s="2" t="str">
        <f>VLOOKUP(A146,Holidays!$A$2:$B$2107,2,1)</f>
        <v>Y</v>
      </c>
      <c r="I146" s="2" t="str">
        <f>VLOOKUP(A146,Holidays!$A$2:$C$2107,3,1)</f>
        <v>N</v>
      </c>
    </row>
    <row r="147" spans="1:9" x14ac:dyDescent="0.45">
      <c r="A147" s="1">
        <v>42150</v>
      </c>
      <c r="B147">
        <v>140886.995</v>
      </c>
      <c r="C147">
        <v>46.401813629999999</v>
      </c>
      <c r="D147" s="2">
        <v>5.4</v>
      </c>
      <c r="E147" s="2">
        <v>15.6</v>
      </c>
      <c r="F147" s="2">
        <v>6.8</v>
      </c>
      <c r="G147" s="2">
        <v>0</v>
      </c>
      <c r="H147" s="2" t="str">
        <f>VLOOKUP(A147,Holidays!$A$2:$B$2107,2,1)</f>
        <v>Y</v>
      </c>
      <c r="I147" s="2" t="str">
        <f>VLOOKUP(A147,Holidays!$A$2:$C$2107,3,1)</f>
        <v>N</v>
      </c>
    </row>
    <row r="148" spans="1:9" x14ac:dyDescent="0.45">
      <c r="A148" s="1">
        <v>42151</v>
      </c>
      <c r="B148">
        <v>133103.37</v>
      </c>
      <c r="C148">
        <v>29.884071370000001</v>
      </c>
      <c r="D148" s="2">
        <v>7.9</v>
      </c>
      <c r="E148" s="2">
        <v>18.7</v>
      </c>
      <c r="F148" s="2">
        <v>7.4</v>
      </c>
      <c r="G148" s="2">
        <v>0</v>
      </c>
      <c r="H148" s="2" t="str">
        <f>VLOOKUP(A148,Holidays!$A$2:$B$2107,2,1)</f>
        <v>Y</v>
      </c>
      <c r="I148" s="2" t="str">
        <f>VLOOKUP(A148,Holidays!$A$2:$C$2107,3,1)</f>
        <v>N</v>
      </c>
    </row>
    <row r="149" spans="1:9" x14ac:dyDescent="0.45">
      <c r="A149" s="1">
        <v>42152</v>
      </c>
      <c r="B149">
        <v>127900.235</v>
      </c>
      <c r="C149">
        <v>26.09688903</v>
      </c>
      <c r="D149" s="2">
        <v>13.1</v>
      </c>
      <c r="E149" s="2">
        <v>19.7</v>
      </c>
      <c r="F149" s="2">
        <v>8.4</v>
      </c>
      <c r="G149" s="2">
        <v>0</v>
      </c>
      <c r="H149" s="2" t="str">
        <f>VLOOKUP(A149,Holidays!$A$2:$B$2107,2,1)</f>
        <v>Y</v>
      </c>
      <c r="I149" s="2" t="str">
        <f>VLOOKUP(A149,Holidays!$A$2:$C$2107,3,1)</f>
        <v>N</v>
      </c>
    </row>
    <row r="150" spans="1:9" x14ac:dyDescent="0.45">
      <c r="A150" s="1">
        <v>42153</v>
      </c>
      <c r="B150">
        <v>132338.94</v>
      </c>
      <c r="C150">
        <v>29.803580050000001</v>
      </c>
      <c r="D150" s="2">
        <v>9.5</v>
      </c>
      <c r="E150" s="2">
        <v>15.8</v>
      </c>
      <c r="F150" s="2">
        <v>6.6</v>
      </c>
      <c r="G150" s="2">
        <v>0</v>
      </c>
      <c r="H150" s="2" t="str">
        <f>VLOOKUP(A150,Holidays!$A$2:$B$2107,2,1)</f>
        <v>Y</v>
      </c>
      <c r="I150" s="2" t="str">
        <f>VLOOKUP(A150,Holidays!$A$2:$C$2107,3,1)</f>
        <v>N</v>
      </c>
    </row>
    <row r="151" spans="1:9" x14ac:dyDescent="0.45">
      <c r="A151" s="1">
        <v>42154</v>
      </c>
      <c r="B151">
        <v>114669.79</v>
      </c>
      <c r="C151">
        <v>19.048825789999999</v>
      </c>
      <c r="D151" s="2">
        <v>11</v>
      </c>
      <c r="E151" s="2">
        <v>17.3</v>
      </c>
      <c r="F151" s="2">
        <v>8</v>
      </c>
      <c r="G151" s="2">
        <v>0</v>
      </c>
      <c r="H151" s="2" t="str">
        <f>VLOOKUP(A151,Holidays!$A$2:$B$2107,2,1)</f>
        <v>Y</v>
      </c>
      <c r="I151" s="2" t="str">
        <f>VLOOKUP(A151,Holidays!$A$2:$C$2107,3,1)</f>
        <v>N</v>
      </c>
    </row>
    <row r="152" spans="1:9" x14ac:dyDescent="0.45">
      <c r="A152" s="1">
        <v>42155</v>
      </c>
      <c r="B152">
        <v>113261.26</v>
      </c>
      <c r="C152">
        <v>18.572714080000001</v>
      </c>
      <c r="D152" s="2">
        <v>12.3</v>
      </c>
      <c r="E152" s="2">
        <v>16.8</v>
      </c>
      <c r="F152" s="2">
        <v>4.9000000000000004</v>
      </c>
      <c r="G152" s="2">
        <v>0</v>
      </c>
      <c r="H152" s="2" t="str">
        <f>VLOOKUP(A152,Holidays!$A$2:$B$2107,2,1)</f>
        <v>Y</v>
      </c>
      <c r="I152" s="2" t="str">
        <f>VLOOKUP(A152,Holidays!$A$2:$C$2107,3,1)</f>
        <v>N</v>
      </c>
    </row>
    <row r="153" spans="1:9" x14ac:dyDescent="0.45">
      <c r="A153" s="1">
        <v>42156</v>
      </c>
      <c r="B153">
        <v>140919.995</v>
      </c>
      <c r="C153">
        <v>36.928126640000002</v>
      </c>
      <c r="D153" s="2">
        <v>5.2</v>
      </c>
      <c r="E153" s="2">
        <v>12.2</v>
      </c>
      <c r="F153" s="2">
        <v>8.1</v>
      </c>
      <c r="G153" s="2">
        <v>8.1999999999999993</v>
      </c>
      <c r="H153" s="2" t="str">
        <f>VLOOKUP(A153,Holidays!$A$2:$B$2107,2,1)</f>
        <v>Y</v>
      </c>
      <c r="I153" s="2" t="str">
        <f>VLOOKUP(A153,Holidays!$A$2:$C$2107,3,1)</f>
        <v>N</v>
      </c>
    </row>
    <row r="154" spans="1:9" x14ac:dyDescent="0.45">
      <c r="A154" s="1">
        <v>42157</v>
      </c>
      <c r="B154">
        <v>148534.505</v>
      </c>
      <c r="C154">
        <v>59.85603338</v>
      </c>
      <c r="D154" s="2">
        <v>7.1</v>
      </c>
      <c r="E154" s="2">
        <v>11.4</v>
      </c>
      <c r="F154" s="2">
        <v>4.5999999999999996</v>
      </c>
      <c r="G154" s="2">
        <v>4.2</v>
      </c>
      <c r="H154" s="2" t="str">
        <f>VLOOKUP(A154,Holidays!$A$2:$B$2107,2,1)</f>
        <v>Y</v>
      </c>
      <c r="I154" s="2" t="str">
        <f>VLOOKUP(A154,Holidays!$A$2:$C$2107,3,1)</f>
        <v>N</v>
      </c>
    </row>
    <row r="155" spans="1:9" x14ac:dyDescent="0.45">
      <c r="A155" s="1">
        <v>42158</v>
      </c>
      <c r="B155">
        <v>146902.95000000001</v>
      </c>
      <c r="C155">
        <v>50.5626836</v>
      </c>
      <c r="D155" s="2">
        <v>8.1</v>
      </c>
      <c r="E155" s="2">
        <v>13.6</v>
      </c>
      <c r="F155" s="2">
        <v>8.1999999999999993</v>
      </c>
      <c r="G155" s="2">
        <v>0.8</v>
      </c>
      <c r="H155" s="2" t="str">
        <f>VLOOKUP(A155,Holidays!$A$2:$B$2107,2,1)</f>
        <v>Y</v>
      </c>
      <c r="I155" s="2" t="str">
        <f>VLOOKUP(A155,Holidays!$A$2:$C$2107,3,1)</f>
        <v>N</v>
      </c>
    </row>
    <row r="156" spans="1:9" x14ac:dyDescent="0.45">
      <c r="A156" s="1">
        <v>42159</v>
      </c>
      <c r="B156">
        <v>147155.26500000001</v>
      </c>
      <c r="C156">
        <v>33.050284789999999</v>
      </c>
      <c r="D156" s="2">
        <v>4.4000000000000004</v>
      </c>
      <c r="E156" s="2">
        <v>11.3</v>
      </c>
      <c r="F156" s="2">
        <v>5.5</v>
      </c>
      <c r="G156" s="2">
        <v>0</v>
      </c>
      <c r="H156" s="2" t="str">
        <f>VLOOKUP(A156,Holidays!$A$2:$B$2107,2,1)</f>
        <v>Y</v>
      </c>
      <c r="I156" s="2" t="str">
        <f>VLOOKUP(A156,Holidays!$A$2:$C$2107,3,1)</f>
        <v>N</v>
      </c>
    </row>
    <row r="157" spans="1:9" x14ac:dyDescent="0.45">
      <c r="A157" s="1">
        <v>42160</v>
      </c>
      <c r="B157">
        <v>142625.035</v>
      </c>
      <c r="C157">
        <v>37.966538890000002</v>
      </c>
      <c r="D157" s="2">
        <v>7</v>
      </c>
      <c r="E157" s="2">
        <v>15</v>
      </c>
      <c r="F157" s="2">
        <v>7</v>
      </c>
      <c r="G157" s="2">
        <v>4.2</v>
      </c>
      <c r="H157" s="2" t="str">
        <f>VLOOKUP(A157,Holidays!$A$2:$B$2107,2,1)</f>
        <v>Y</v>
      </c>
      <c r="I157" s="2" t="str">
        <f>VLOOKUP(A157,Holidays!$A$2:$C$2107,3,1)</f>
        <v>N</v>
      </c>
    </row>
    <row r="158" spans="1:9" x14ac:dyDescent="0.45">
      <c r="A158" s="1">
        <v>42161</v>
      </c>
      <c r="B158">
        <v>120128.295</v>
      </c>
      <c r="C158">
        <v>30.181346850000001</v>
      </c>
      <c r="D158" s="2">
        <v>9.1999999999999993</v>
      </c>
      <c r="E158" s="2">
        <v>16.600000000000001</v>
      </c>
      <c r="F158" s="2">
        <v>6.4</v>
      </c>
      <c r="G158" s="2">
        <v>0.2</v>
      </c>
      <c r="H158" s="2" t="str">
        <f>VLOOKUP(A158,Holidays!$A$2:$B$2107,2,1)</f>
        <v>Y</v>
      </c>
      <c r="I158" s="2" t="str">
        <f>VLOOKUP(A158,Holidays!$A$2:$C$2107,3,1)</f>
        <v>N</v>
      </c>
    </row>
    <row r="159" spans="1:9" x14ac:dyDescent="0.45">
      <c r="A159" s="1">
        <v>42162</v>
      </c>
      <c r="B159">
        <v>109609.685</v>
      </c>
      <c r="C159">
        <v>23.380384849999999</v>
      </c>
      <c r="D159" s="2">
        <v>11.2</v>
      </c>
      <c r="E159" s="2">
        <v>14.5</v>
      </c>
      <c r="F159" s="2">
        <v>6.9</v>
      </c>
      <c r="G159" s="2">
        <v>0</v>
      </c>
      <c r="H159" s="2" t="str">
        <f>VLOOKUP(A159,Holidays!$A$2:$B$2107,2,1)</f>
        <v>Y</v>
      </c>
      <c r="I159" s="2" t="str">
        <f>VLOOKUP(A159,Holidays!$A$2:$C$2107,3,1)</f>
        <v>N</v>
      </c>
    </row>
    <row r="160" spans="1:9" x14ac:dyDescent="0.45">
      <c r="A160" s="1">
        <v>42163</v>
      </c>
      <c r="B160">
        <v>110715.815</v>
      </c>
      <c r="C160">
        <v>24.357636500000002</v>
      </c>
      <c r="D160" s="2">
        <v>11.1</v>
      </c>
      <c r="E160" s="2">
        <v>18.5</v>
      </c>
      <c r="F160" s="2">
        <v>8.1999999999999993</v>
      </c>
      <c r="G160" s="2">
        <v>0</v>
      </c>
      <c r="H160" s="2" t="str">
        <f>VLOOKUP(A160,Holidays!$A$2:$B$2107,2,1)</f>
        <v>Y</v>
      </c>
      <c r="I160" s="2" t="str">
        <f>VLOOKUP(A160,Holidays!$A$2:$C$2107,3,1)</f>
        <v>Y</v>
      </c>
    </row>
    <row r="161" spans="1:9" x14ac:dyDescent="0.45">
      <c r="A161" s="1">
        <v>42164</v>
      </c>
      <c r="B161">
        <v>132854.13500000001</v>
      </c>
      <c r="C161">
        <v>36.714275120000003</v>
      </c>
      <c r="D161" s="2">
        <v>10.3</v>
      </c>
      <c r="E161" s="2">
        <v>13.5</v>
      </c>
      <c r="F161" s="2">
        <v>8.6</v>
      </c>
      <c r="G161" s="2">
        <v>4</v>
      </c>
      <c r="H161" s="2" t="str">
        <f>VLOOKUP(A161,Holidays!$A$2:$B$2107,2,1)</f>
        <v>Y</v>
      </c>
      <c r="I161" s="2" t="str">
        <f>VLOOKUP(A161,Holidays!$A$2:$C$2107,3,1)</f>
        <v>N</v>
      </c>
    </row>
    <row r="162" spans="1:9" x14ac:dyDescent="0.45">
      <c r="A162" s="1">
        <v>42165</v>
      </c>
      <c r="B162">
        <v>144125.52499999999</v>
      </c>
      <c r="C162">
        <v>39.766137469999997</v>
      </c>
      <c r="D162" s="2">
        <v>7.5</v>
      </c>
      <c r="E162" s="2">
        <v>13.4</v>
      </c>
      <c r="F162" s="2">
        <v>7.1</v>
      </c>
      <c r="G162" s="2">
        <v>0</v>
      </c>
      <c r="H162" s="2" t="str">
        <f>VLOOKUP(A162,Holidays!$A$2:$B$2107,2,1)</f>
        <v>Y</v>
      </c>
      <c r="I162" s="2" t="str">
        <f>VLOOKUP(A162,Holidays!$A$2:$C$2107,3,1)</f>
        <v>N</v>
      </c>
    </row>
    <row r="163" spans="1:9" x14ac:dyDescent="0.45">
      <c r="A163" s="1">
        <v>42166</v>
      </c>
      <c r="B163">
        <v>143465.44500000001</v>
      </c>
      <c r="C163">
        <v>37.481829380000001</v>
      </c>
      <c r="D163" s="2">
        <v>5.7</v>
      </c>
      <c r="E163" s="2">
        <v>14</v>
      </c>
      <c r="F163" s="2">
        <v>8.3000000000000007</v>
      </c>
      <c r="H163" s="2" t="str">
        <f>VLOOKUP(A163,Holidays!$A$2:$B$2107,2,1)</f>
        <v>Y</v>
      </c>
      <c r="I163" s="2" t="str">
        <f>VLOOKUP(A163,Holidays!$A$2:$C$2107,3,1)</f>
        <v>N</v>
      </c>
    </row>
    <row r="164" spans="1:9" x14ac:dyDescent="0.45">
      <c r="A164" s="1">
        <v>42167</v>
      </c>
      <c r="B164">
        <v>145005.62</v>
      </c>
      <c r="C164">
        <v>37.539372819999997</v>
      </c>
      <c r="D164" s="2">
        <v>5.2</v>
      </c>
      <c r="E164" s="2">
        <v>13.1</v>
      </c>
      <c r="F164" s="2">
        <v>6.9</v>
      </c>
      <c r="G164" s="2">
        <v>0</v>
      </c>
      <c r="H164" s="2" t="str">
        <f>VLOOKUP(A164,Holidays!$A$2:$B$2107,2,1)</f>
        <v>Y</v>
      </c>
      <c r="I164" s="2" t="str">
        <f>VLOOKUP(A164,Holidays!$A$2:$C$2107,3,1)</f>
        <v>N</v>
      </c>
    </row>
    <row r="165" spans="1:9" x14ac:dyDescent="0.45">
      <c r="A165" s="1">
        <v>42168</v>
      </c>
      <c r="B165">
        <v>123754.55</v>
      </c>
      <c r="C165">
        <v>29.868588150000001</v>
      </c>
      <c r="D165" s="2">
        <v>6</v>
      </c>
      <c r="E165" s="2">
        <v>18.2</v>
      </c>
      <c r="F165" s="2">
        <v>8</v>
      </c>
      <c r="G165" s="2">
        <v>0</v>
      </c>
      <c r="H165" s="2" t="str">
        <f>VLOOKUP(A165,Holidays!$A$2:$B$2107,2,1)</f>
        <v>Y</v>
      </c>
      <c r="I165" s="2" t="str">
        <f>VLOOKUP(A165,Holidays!$A$2:$C$2107,3,1)</f>
        <v>N</v>
      </c>
    </row>
    <row r="166" spans="1:9" x14ac:dyDescent="0.45">
      <c r="A166" s="1">
        <v>42169</v>
      </c>
      <c r="B166">
        <v>119125.62</v>
      </c>
      <c r="C166">
        <v>31.598182309999999</v>
      </c>
      <c r="D166" s="2">
        <v>5.8</v>
      </c>
      <c r="E166" s="2">
        <v>17.399999999999999</v>
      </c>
      <c r="F166" s="2">
        <v>8</v>
      </c>
      <c r="G166" s="2">
        <v>0</v>
      </c>
      <c r="H166" s="2" t="str">
        <f>VLOOKUP(A166,Holidays!$A$2:$B$2107,2,1)</f>
        <v>Y</v>
      </c>
      <c r="I166" s="2" t="str">
        <f>VLOOKUP(A166,Holidays!$A$2:$C$2107,3,1)</f>
        <v>N</v>
      </c>
    </row>
    <row r="167" spans="1:9" x14ac:dyDescent="0.45">
      <c r="A167" s="1">
        <v>42170</v>
      </c>
      <c r="B167">
        <v>136054.14499999999</v>
      </c>
      <c r="C167">
        <v>36.010981530000002</v>
      </c>
      <c r="D167" s="2">
        <v>7.1</v>
      </c>
      <c r="E167" s="2">
        <v>16.899999999999999</v>
      </c>
      <c r="F167" s="2">
        <v>6.6</v>
      </c>
      <c r="G167" s="2">
        <v>0</v>
      </c>
      <c r="H167" s="2" t="str">
        <f>VLOOKUP(A167,Holidays!$A$2:$B$2107,2,1)</f>
        <v>Y</v>
      </c>
      <c r="I167" s="2" t="str">
        <f>VLOOKUP(A167,Holidays!$A$2:$C$2107,3,1)</f>
        <v>N</v>
      </c>
    </row>
    <row r="168" spans="1:9" x14ac:dyDescent="0.45">
      <c r="A168" s="1">
        <v>42171</v>
      </c>
      <c r="B168">
        <v>139073.785</v>
      </c>
      <c r="C168">
        <v>36.942819380000003</v>
      </c>
      <c r="D168" s="2">
        <v>9.5</v>
      </c>
      <c r="E168" s="2">
        <v>16.100000000000001</v>
      </c>
      <c r="F168" s="2">
        <v>3.3</v>
      </c>
      <c r="G168" s="2">
        <v>5</v>
      </c>
      <c r="H168" s="2" t="str">
        <f>VLOOKUP(A168,Holidays!$A$2:$B$2107,2,1)</f>
        <v>Y</v>
      </c>
      <c r="I168" s="2" t="str">
        <f>VLOOKUP(A168,Holidays!$A$2:$C$2107,3,1)</f>
        <v>N</v>
      </c>
    </row>
    <row r="169" spans="1:9" x14ac:dyDescent="0.45">
      <c r="A169" s="1">
        <v>42172</v>
      </c>
      <c r="B169">
        <v>134290.46</v>
      </c>
      <c r="C169">
        <v>39.278599130000003</v>
      </c>
      <c r="D169" s="2">
        <v>11.7</v>
      </c>
      <c r="E169" s="2">
        <v>13.8</v>
      </c>
      <c r="F169" s="2">
        <v>4.7</v>
      </c>
      <c r="G169" s="2">
        <v>0</v>
      </c>
      <c r="H169" s="2" t="str">
        <f>VLOOKUP(A169,Holidays!$A$2:$B$2107,2,1)</f>
        <v>Y</v>
      </c>
      <c r="I169" s="2" t="str">
        <f>VLOOKUP(A169,Holidays!$A$2:$C$2107,3,1)</f>
        <v>N</v>
      </c>
    </row>
    <row r="170" spans="1:9" x14ac:dyDescent="0.45">
      <c r="A170" s="1">
        <v>42173</v>
      </c>
      <c r="B170">
        <v>137073.77499999999</v>
      </c>
      <c r="C170">
        <v>37.45776352</v>
      </c>
      <c r="D170" s="2">
        <v>10.7</v>
      </c>
      <c r="E170" s="2">
        <v>12.7</v>
      </c>
      <c r="F170" s="2">
        <v>4.2</v>
      </c>
      <c r="G170" s="2">
        <v>1</v>
      </c>
      <c r="H170" s="2" t="str">
        <f>VLOOKUP(A170,Holidays!$A$2:$B$2107,2,1)</f>
        <v>Y</v>
      </c>
      <c r="I170" s="2" t="str">
        <f>VLOOKUP(A170,Holidays!$A$2:$C$2107,3,1)</f>
        <v>N</v>
      </c>
    </row>
    <row r="171" spans="1:9" x14ac:dyDescent="0.45">
      <c r="A171" s="1">
        <v>42174</v>
      </c>
      <c r="B171">
        <v>139781.245</v>
      </c>
      <c r="C171">
        <v>38.550713739999999</v>
      </c>
      <c r="D171" s="2">
        <v>7</v>
      </c>
      <c r="E171" s="2">
        <v>12.4</v>
      </c>
      <c r="F171" s="2">
        <v>7.9</v>
      </c>
      <c r="G171" s="2">
        <v>0.2</v>
      </c>
      <c r="H171" s="2" t="str">
        <f>VLOOKUP(A171,Holidays!$A$2:$B$2107,2,1)</f>
        <v>Y</v>
      </c>
      <c r="I171" s="2" t="str">
        <f>VLOOKUP(A171,Holidays!$A$2:$C$2107,3,1)</f>
        <v>N</v>
      </c>
    </row>
    <row r="172" spans="1:9" x14ac:dyDescent="0.45">
      <c r="A172" s="1">
        <v>42175</v>
      </c>
      <c r="B172">
        <v>129576.36</v>
      </c>
      <c r="C172">
        <v>41.097683109999998</v>
      </c>
      <c r="D172" s="2">
        <v>4.0999999999999996</v>
      </c>
      <c r="E172" s="2">
        <v>11.6</v>
      </c>
      <c r="F172" s="2">
        <v>7.1</v>
      </c>
      <c r="G172" s="2">
        <v>0</v>
      </c>
      <c r="H172" s="2" t="str">
        <f>VLOOKUP(A172,Holidays!$A$2:$B$2107,2,1)</f>
        <v>Y</v>
      </c>
      <c r="I172" s="2" t="str">
        <f>VLOOKUP(A172,Holidays!$A$2:$C$2107,3,1)</f>
        <v>N</v>
      </c>
    </row>
    <row r="173" spans="1:9" x14ac:dyDescent="0.45">
      <c r="A173" s="1">
        <v>42176</v>
      </c>
      <c r="B173">
        <v>124910.57</v>
      </c>
      <c r="C173">
        <v>33.902389839999998</v>
      </c>
      <c r="D173" s="2">
        <v>2.2000000000000002</v>
      </c>
      <c r="E173" s="2">
        <v>12.9</v>
      </c>
      <c r="F173" s="2">
        <v>8.6</v>
      </c>
      <c r="G173" s="2">
        <v>0</v>
      </c>
      <c r="H173" s="2" t="str">
        <f>VLOOKUP(A173,Holidays!$A$2:$B$2107,2,1)</f>
        <v>Y</v>
      </c>
      <c r="I173" s="2" t="str">
        <f>VLOOKUP(A173,Holidays!$A$2:$C$2107,3,1)</f>
        <v>N</v>
      </c>
    </row>
    <row r="174" spans="1:9" x14ac:dyDescent="0.45">
      <c r="A174" s="1">
        <v>42177</v>
      </c>
      <c r="B174">
        <v>140431.35999999999</v>
      </c>
      <c r="C174">
        <v>30.477831179999999</v>
      </c>
      <c r="D174" s="2">
        <v>3.6</v>
      </c>
      <c r="E174" s="2">
        <v>14.1</v>
      </c>
      <c r="F174" s="2">
        <v>6.2</v>
      </c>
      <c r="G174" s="2">
        <v>0</v>
      </c>
      <c r="H174" s="2" t="str">
        <f>VLOOKUP(A174,Holidays!$A$2:$B$2107,2,1)</f>
        <v>Y</v>
      </c>
      <c r="I174" s="2" t="str">
        <f>VLOOKUP(A174,Holidays!$A$2:$C$2107,3,1)</f>
        <v>N</v>
      </c>
    </row>
    <row r="175" spans="1:9" x14ac:dyDescent="0.45">
      <c r="A175" s="1">
        <v>42178</v>
      </c>
      <c r="B175">
        <v>133171.4</v>
      </c>
      <c r="C175">
        <v>30.238061600000002</v>
      </c>
      <c r="D175" s="2">
        <v>9.6</v>
      </c>
      <c r="E175" s="2">
        <v>17.600000000000001</v>
      </c>
      <c r="F175" s="2">
        <v>5.8</v>
      </c>
      <c r="G175" s="2">
        <v>0</v>
      </c>
      <c r="H175" s="2" t="str">
        <f>VLOOKUP(A175,Holidays!$A$2:$B$2107,2,1)</f>
        <v>Y</v>
      </c>
      <c r="I175" s="2" t="str">
        <f>VLOOKUP(A175,Holidays!$A$2:$C$2107,3,1)</f>
        <v>N</v>
      </c>
    </row>
    <row r="176" spans="1:9" x14ac:dyDescent="0.45">
      <c r="A176" s="1">
        <v>42179</v>
      </c>
      <c r="B176">
        <v>135407.57</v>
      </c>
      <c r="C176">
        <v>32.217778950000003</v>
      </c>
      <c r="D176" s="2">
        <v>12.2</v>
      </c>
      <c r="E176" s="2">
        <v>16</v>
      </c>
      <c r="F176" s="2">
        <v>7.7</v>
      </c>
      <c r="G176" s="2">
        <v>0</v>
      </c>
      <c r="H176" s="2" t="str">
        <f>VLOOKUP(A176,Holidays!$A$2:$B$2107,2,1)</f>
        <v>Y</v>
      </c>
      <c r="I176" s="2" t="str">
        <f>VLOOKUP(A176,Holidays!$A$2:$C$2107,3,1)</f>
        <v>N</v>
      </c>
    </row>
    <row r="177" spans="1:9" x14ac:dyDescent="0.45">
      <c r="A177" s="1">
        <v>42180</v>
      </c>
      <c r="B177">
        <v>137379.23000000001</v>
      </c>
      <c r="C177">
        <v>33.054838169999996</v>
      </c>
      <c r="D177" s="2">
        <v>9.6</v>
      </c>
      <c r="E177" s="2">
        <v>14</v>
      </c>
      <c r="F177" s="2">
        <v>6.3</v>
      </c>
      <c r="G177" s="2">
        <v>0</v>
      </c>
      <c r="H177" s="2" t="str">
        <f>VLOOKUP(A177,Holidays!$A$2:$B$2107,2,1)</f>
        <v>Y</v>
      </c>
      <c r="I177" s="2" t="str">
        <f>VLOOKUP(A177,Holidays!$A$2:$C$2107,3,1)</f>
        <v>N</v>
      </c>
    </row>
    <row r="178" spans="1:9" x14ac:dyDescent="0.45">
      <c r="A178" s="1">
        <v>42181</v>
      </c>
      <c r="B178">
        <v>135562.07500000001</v>
      </c>
      <c r="C178">
        <v>31.92862512</v>
      </c>
      <c r="D178" s="2">
        <v>10.5</v>
      </c>
      <c r="E178" s="2">
        <v>16.899999999999999</v>
      </c>
      <c r="F178" s="2">
        <v>7.1</v>
      </c>
      <c r="G178" s="2">
        <v>0</v>
      </c>
      <c r="H178" s="2" t="str">
        <f>VLOOKUP(A178,Holidays!$A$2:$B$2107,2,1)</f>
        <v>N</v>
      </c>
      <c r="I178" s="2" t="str">
        <f>VLOOKUP(A178,Holidays!$A$2:$C$2107,3,1)</f>
        <v>N</v>
      </c>
    </row>
    <row r="179" spans="1:9" x14ac:dyDescent="0.45">
      <c r="A179" s="1">
        <v>42182</v>
      </c>
      <c r="B179">
        <v>124587.43</v>
      </c>
      <c r="C179">
        <v>28.292540349999999</v>
      </c>
      <c r="D179" s="2">
        <v>8</v>
      </c>
      <c r="E179" s="2">
        <v>14.1</v>
      </c>
      <c r="F179" s="2">
        <v>5</v>
      </c>
      <c r="G179" s="2">
        <v>0</v>
      </c>
      <c r="H179" s="2" t="str">
        <f>VLOOKUP(A179,Holidays!$A$2:$B$2107,2,1)</f>
        <v>N</v>
      </c>
      <c r="I179" s="2" t="str">
        <f>VLOOKUP(A179,Holidays!$A$2:$C$2107,3,1)</f>
        <v>N</v>
      </c>
    </row>
    <row r="180" spans="1:9" x14ac:dyDescent="0.45">
      <c r="A180" s="1">
        <v>42183</v>
      </c>
      <c r="B180">
        <v>119277.48</v>
      </c>
      <c r="C180">
        <v>31.00149176</v>
      </c>
      <c r="D180" s="2">
        <v>9.6</v>
      </c>
      <c r="E180" s="2">
        <v>14.5</v>
      </c>
      <c r="F180" s="2">
        <v>4.0999999999999996</v>
      </c>
      <c r="G180" s="2">
        <v>0</v>
      </c>
      <c r="H180" s="2" t="str">
        <f>VLOOKUP(A180,Holidays!$A$2:$B$2107,2,1)</f>
        <v>N</v>
      </c>
      <c r="I180" s="2" t="str">
        <f>VLOOKUP(A180,Holidays!$A$2:$C$2107,3,1)</f>
        <v>N</v>
      </c>
    </row>
    <row r="181" spans="1:9" x14ac:dyDescent="0.45">
      <c r="A181" s="1">
        <v>42184</v>
      </c>
      <c r="B181">
        <v>139468.155</v>
      </c>
      <c r="C181">
        <v>35.775398760000002</v>
      </c>
      <c r="D181" s="2">
        <v>6.9</v>
      </c>
      <c r="E181" s="2">
        <v>12.3</v>
      </c>
      <c r="F181" s="2">
        <v>5.6</v>
      </c>
      <c r="G181" s="2">
        <v>0</v>
      </c>
      <c r="H181" s="2" t="str">
        <f>VLOOKUP(A181,Holidays!$A$2:$B$2107,2,1)</f>
        <v>N</v>
      </c>
      <c r="I181" s="2" t="str">
        <f>VLOOKUP(A181,Holidays!$A$2:$C$2107,3,1)</f>
        <v>N</v>
      </c>
    </row>
    <row r="182" spans="1:9" x14ac:dyDescent="0.45">
      <c r="A182" s="1">
        <v>42185</v>
      </c>
      <c r="B182">
        <v>143170.05499999999</v>
      </c>
      <c r="C182">
        <v>37.625258199999998</v>
      </c>
      <c r="D182" s="2">
        <v>5</v>
      </c>
      <c r="E182" s="2">
        <v>14.2</v>
      </c>
      <c r="F182" s="2">
        <v>7.9</v>
      </c>
      <c r="G182" s="2">
        <v>0</v>
      </c>
      <c r="H182" s="2" t="str">
        <f>VLOOKUP(A182,Holidays!$A$2:$B$2107,2,1)</f>
        <v>N</v>
      </c>
      <c r="I182" s="2" t="str">
        <f>VLOOKUP(A182,Holidays!$A$2:$C$2107,3,1)</f>
        <v>N</v>
      </c>
    </row>
    <row r="183" spans="1:9" x14ac:dyDescent="0.45">
      <c r="A183" s="1">
        <v>42186</v>
      </c>
      <c r="B183">
        <v>138931</v>
      </c>
      <c r="C183">
        <v>29.520946160000001</v>
      </c>
      <c r="D183" s="2">
        <v>7.4</v>
      </c>
      <c r="E183" s="2">
        <v>15</v>
      </c>
      <c r="F183" s="2">
        <v>6.9</v>
      </c>
      <c r="G183" s="2">
        <v>0</v>
      </c>
      <c r="H183" s="2" t="str">
        <f>VLOOKUP(A183,Holidays!$A$2:$B$2107,2,1)</f>
        <v>N</v>
      </c>
      <c r="I183" s="2" t="str">
        <f>VLOOKUP(A183,Holidays!$A$2:$C$2107,3,1)</f>
        <v>N</v>
      </c>
    </row>
    <row r="184" spans="1:9" x14ac:dyDescent="0.45">
      <c r="A184" s="1">
        <v>42187</v>
      </c>
      <c r="B184">
        <v>138972.42499999999</v>
      </c>
      <c r="C184">
        <v>35.618313800000003</v>
      </c>
      <c r="D184" s="2">
        <v>10.3</v>
      </c>
      <c r="E184" s="2">
        <v>11.9</v>
      </c>
      <c r="F184" s="2">
        <v>7</v>
      </c>
      <c r="G184" s="2">
        <v>0.6</v>
      </c>
      <c r="H184" s="2" t="str">
        <f>VLOOKUP(A184,Holidays!$A$2:$B$2107,2,1)</f>
        <v>N</v>
      </c>
      <c r="I184" s="2" t="str">
        <f>VLOOKUP(A184,Holidays!$A$2:$C$2107,3,1)</f>
        <v>N</v>
      </c>
    </row>
    <row r="185" spans="1:9" x14ac:dyDescent="0.45">
      <c r="A185" s="1">
        <v>42188</v>
      </c>
      <c r="B185">
        <v>145713.81</v>
      </c>
      <c r="C185">
        <v>42.629576239999999</v>
      </c>
      <c r="D185" s="2">
        <v>5.9</v>
      </c>
      <c r="E185" s="2">
        <v>12</v>
      </c>
      <c r="F185" s="2">
        <v>5</v>
      </c>
      <c r="G185" s="2">
        <v>2.6</v>
      </c>
      <c r="H185" s="2" t="str">
        <f>VLOOKUP(A185,Holidays!$A$2:$B$2107,2,1)</f>
        <v>N</v>
      </c>
      <c r="I185" s="2" t="str">
        <f>VLOOKUP(A185,Holidays!$A$2:$C$2107,3,1)</f>
        <v>N</v>
      </c>
    </row>
    <row r="186" spans="1:9" x14ac:dyDescent="0.45">
      <c r="A186" s="1">
        <v>42189</v>
      </c>
      <c r="B186">
        <v>130073.27</v>
      </c>
      <c r="C186">
        <v>29.127825269999999</v>
      </c>
      <c r="D186" s="2">
        <v>7.3</v>
      </c>
      <c r="E186" s="2">
        <v>10.6</v>
      </c>
      <c r="F186" s="2">
        <v>2.8</v>
      </c>
      <c r="G186" s="2">
        <v>0</v>
      </c>
      <c r="H186" s="2" t="str">
        <f>VLOOKUP(A186,Holidays!$A$2:$B$2107,2,1)</f>
        <v>N</v>
      </c>
      <c r="I186" s="2" t="str">
        <f>VLOOKUP(A186,Holidays!$A$2:$C$2107,3,1)</f>
        <v>N</v>
      </c>
    </row>
    <row r="187" spans="1:9" x14ac:dyDescent="0.45">
      <c r="A187" s="1">
        <v>42190</v>
      </c>
      <c r="B187">
        <v>117312.925</v>
      </c>
      <c r="C187">
        <v>24.00328983</v>
      </c>
      <c r="D187" s="2">
        <v>8.1999999999999993</v>
      </c>
      <c r="E187" s="2">
        <v>14.9</v>
      </c>
      <c r="F187" s="2">
        <v>8.1999999999999993</v>
      </c>
      <c r="G187" s="2">
        <v>2</v>
      </c>
      <c r="H187" s="2" t="str">
        <f>VLOOKUP(A187,Holidays!$A$2:$B$2107,2,1)</f>
        <v>N</v>
      </c>
      <c r="I187" s="2" t="str">
        <f>VLOOKUP(A187,Holidays!$A$2:$C$2107,3,1)</f>
        <v>N</v>
      </c>
    </row>
    <row r="188" spans="1:9" x14ac:dyDescent="0.45">
      <c r="A188" s="1">
        <v>42191</v>
      </c>
      <c r="B188">
        <v>143176.33499999999</v>
      </c>
      <c r="C188">
        <v>36.041788840000002</v>
      </c>
      <c r="D188" s="2">
        <v>7.5</v>
      </c>
      <c r="E188" s="2">
        <v>11.5</v>
      </c>
      <c r="F188" s="2">
        <v>4.4000000000000004</v>
      </c>
      <c r="G188" s="2">
        <v>1.6</v>
      </c>
      <c r="H188" s="2" t="str">
        <f>VLOOKUP(A188,Holidays!$A$2:$B$2107,2,1)</f>
        <v>N</v>
      </c>
      <c r="I188" s="2" t="str">
        <f>VLOOKUP(A188,Holidays!$A$2:$C$2107,3,1)</f>
        <v>N</v>
      </c>
    </row>
    <row r="189" spans="1:9" x14ac:dyDescent="0.45">
      <c r="A189" s="1">
        <v>42192</v>
      </c>
      <c r="B189">
        <v>143984.39000000001</v>
      </c>
      <c r="C189">
        <v>37.297517450000001</v>
      </c>
      <c r="D189" s="2">
        <v>7.4</v>
      </c>
      <c r="E189" s="2">
        <v>14.2</v>
      </c>
      <c r="F189" s="2">
        <v>7</v>
      </c>
      <c r="G189" s="2">
        <v>2.2000000000000002</v>
      </c>
      <c r="H189" s="2" t="str">
        <f>VLOOKUP(A189,Holidays!$A$2:$B$2107,2,1)</f>
        <v>N</v>
      </c>
      <c r="I189" s="2" t="str">
        <f>VLOOKUP(A189,Holidays!$A$2:$C$2107,3,1)</f>
        <v>N</v>
      </c>
    </row>
    <row r="190" spans="1:9" x14ac:dyDescent="0.45">
      <c r="A190" s="1">
        <v>42193</v>
      </c>
      <c r="B190">
        <v>141696.29500000001</v>
      </c>
      <c r="C190">
        <v>40.583806850000002</v>
      </c>
      <c r="D190" s="2">
        <v>4.9000000000000004</v>
      </c>
      <c r="E190" s="2">
        <v>14.8</v>
      </c>
      <c r="F190" s="2">
        <v>8.5</v>
      </c>
      <c r="G190" s="2">
        <v>0.2</v>
      </c>
      <c r="H190" s="2" t="str">
        <f>VLOOKUP(A190,Holidays!$A$2:$B$2107,2,1)</f>
        <v>N</v>
      </c>
      <c r="I190" s="2" t="str">
        <f>VLOOKUP(A190,Holidays!$A$2:$C$2107,3,1)</f>
        <v>N</v>
      </c>
    </row>
    <row r="191" spans="1:9" x14ac:dyDescent="0.45">
      <c r="A191" s="1">
        <v>42194</v>
      </c>
      <c r="B191">
        <v>141994.375</v>
      </c>
      <c r="C191">
        <v>38.517273539999998</v>
      </c>
      <c r="D191" s="2">
        <v>6.5</v>
      </c>
      <c r="E191" s="2">
        <v>13.4</v>
      </c>
      <c r="F191" s="2">
        <v>3.5</v>
      </c>
      <c r="G191" s="2">
        <v>0</v>
      </c>
      <c r="H191" s="2" t="str">
        <f>VLOOKUP(A191,Holidays!$A$2:$B$2107,2,1)</f>
        <v>N</v>
      </c>
      <c r="I191" s="2" t="str">
        <f>VLOOKUP(A191,Holidays!$A$2:$C$2107,3,1)</f>
        <v>N</v>
      </c>
    </row>
    <row r="192" spans="1:9" x14ac:dyDescent="0.45">
      <c r="A192" s="1">
        <v>42195</v>
      </c>
      <c r="B192">
        <v>136884.095</v>
      </c>
      <c r="C192">
        <v>32.288455370000001</v>
      </c>
      <c r="D192" s="2">
        <v>7.6</v>
      </c>
      <c r="E192" s="2">
        <v>14.3</v>
      </c>
      <c r="F192" s="2">
        <v>5.8</v>
      </c>
      <c r="G192" s="2">
        <v>0</v>
      </c>
      <c r="H192" s="2" t="str">
        <f>VLOOKUP(A192,Holidays!$A$2:$B$2107,2,1)</f>
        <v>N</v>
      </c>
      <c r="I192" s="2" t="str">
        <f>VLOOKUP(A192,Holidays!$A$2:$C$2107,3,1)</f>
        <v>N</v>
      </c>
    </row>
    <row r="193" spans="1:9" x14ac:dyDescent="0.45">
      <c r="A193" s="1">
        <v>42196</v>
      </c>
      <c r="B193">
        <v>123971.705</v>
      </c>
      <c r="C193">
        <v>30.621819909999999</v>
      </c>
      <c r="D193" s="2">
        <v>10.9</v>
      </c>
      <c r="E193" s="2">
        <v>13.1</v>
      </c>
      <c r="F193" s="2">
        <v>3.7</v>
      </c>
      <c r="G193" s="2">
        <v>0.2</v>
      </c>
      <c r="H193" s="2" t="str">
        <f>VLOOKUP(A193,Holidays!$A$2:$B$2107,2,1)</f>
        <v>N</v>
      </c>
      <c r="I193" s="2" t="str">
        <f>VLOOKUP(A193,Holidays!$A$2:$C$2107,3,1)</f>
        <v>N</v>
      </c>
    </row>
    <row r="194" spans="1:9" x14ac:dyDescent="0.45">
      <c r="A194" s="1">
        <v>42197</v>
      </c>
      <c r="B194">
        <v>124790.69500000001</v>
      </c>
      <c r="C194">
        <v>33.152119050000003</v>
      </c>
      <c r="D194" s="2">
        <v>3.4</v>
      </c>
      <c r="E194" s="2">
        <v>12.3</v>
      </c>
      <c r="F194" s="2">
        <v>2.9</v>
      </c>
      <c r="G194" s="2">
        <v>1.6</v>
      </c>
      <c r="H194" s="2" t="str">
        <f>VLOOKUP(A194,Holidays!$A$2:$B$2107,2,1)</f>
        <v>N</v>
      </c>
      <c r="I194" s="2" t="str">
        <f>VLOOKUP(A194,Holidays!$A$2:$C$2107,3,1)</f>
        <v>N</v>
      </c>
    </row>
    <row r="195" spans="1:9" x14ac:dyDescent="0.45">
      <c r="A195" s="1">
        <v>42198</v>
      </c>
      <c r="B195">
        <v>138680.33499999999</v>
      </c>
      <c r="C195">
        <v>47.526301529999998</v>
      </c>
      <c r="D195" s="2">
        <v>6.1</v>
      </c>
      <c r="E195" s="2">
        <v>12.7</v>
      </c>
      <c r="F195" s="2">
        <v>4.2</v>
      </c>
      <c r="G195" s="2">
        <v>28.4</v>
      </c>
      <c r="H195" s="2" t="str">
        <f>VLOOKUP(A195,Holidays!$A$2:$B$2107,2,1)</f>
        <v>N</v>
      </c>
      <c r="I195" s="2" t="str">
        <f>VLOOKUP(A195,Holidays!$A$2:$C$2107,3,1)</f>
        <v>N</v>
      </c>
    </row>
    <row r="196" spans="1:9" x14ac:dyDescent="0.45">
      <c r="A196" s="1">
        <v>42199</v>
      </c>
      <c r="B196">
        <v>150671.10500000001</v>
      </c>
      <c r="C196">
        <v>45.25558281</v>
      </c>
      <c r="D196" s="2">
        <v>8.1</v>
      </c>
      <c r="E196" s="2">
        <v>9.8000000000000007</v>
      </c>
      <c r="F196" s="2">
        <v>4.8</v>
      </c>
      <c r="G196" s="2">
        <v>3.8</v>
      </c>
      <c r="H196" s="2" t="str">
        <f>VLOOKUP(A196,Holidays!$A$2:$B$2107,2,1)</f>
        <v>Y</v>
      </c>
      <c r="I196" s="2" t="str">
        <f>VLOOKUP(A196,Holidays!$A$2:$C$2107,3,1)</f>
        <v>N</v>
      </c>
    </row>
    <row r="197" spans="1:9" x14ac:dyDescent="0.45">
      <c r="A197" s="1">
        <v>42200</v>
      </c>
      <c r="B197">
        <v>151270.54</v>
      </c>
      <c r="C197">
        <v>50.497418199999998</v>
      </c>
      <c r="D197" s="2">
        <v>5.8</v>
      </c>
      <c r="E197" s="2">
        <v>10.5</v>
      </c>
      <c r="F197" s="2">
        <v>7.4</v>
      </c>
      <c r="G197" s="2">
        <v>3.6</v>
      </c>
      <c r="H197" s="2" t="str">
        <f>VLOOKUP(A197,Holidays!$A$2:$B$2107,2,1)</f>
        <v>Y</v>
      </c>
      <c r="I197" s="2" t="str">
        <f>VLOOKUP(A197,Holidays!$A$2:$C$2107,3,1)</f>
        <v>N</v>
      </c>
    </row>
    <row r="198" spans="1:9" x14ac:dyDescent="0.45">
      <c r="A198" s="1">
        <v>42201</v>
      </c>
      <c r="B198">
        <v>144797.98000000001</v>
      </c>
      <c r="C198">
        <v>40.471707639999998</v>
      </c>
      <c r="D198" s="2">
        <v>6.6</v>
      </c>
      <c r="E198" s="2">
        <v>12.3</v>
      </c>
      <c r="F198" s="2">
        <v>8.1</v>
      </c>
      <c r="G198" s="2">
        <v>0.2</v>
      </c>
      <c r="H198" s="2" t="str">
        <f>VLOOKUP(A198,Holidays!$A$2:$B$2107,2,1)</f>
        <v>Y</v>
      </c>
      <c r="I198" s="2" t="str">
        <f>VLOOKUP(A198,Holidays!$A$2:$C$2107,3,1)</f>
        <v>N</v>
      </c>
    </row>
    <row r="199" spans="1:9" x14ac:dyDescent="0.45">
      <c r="A199" s="1">
        <v>42202</v>
      </c>
      <c r="B199">
        <v>142965.48000000001</v>
      </c>
      <c r="C199">
        <v>49.218506959999999</v>
      </c>
      <c r="D199" s="2">
        <v>7.3</v>
      </c>
      <c r="E199" s="2">
        <v>12.3</v>
      </c>
      <c r="F199" s="2">
        <v>6.5</v>
      </c>
      <c r="G199" s="2">
        <v>2.4</v>
      </c>
      <c r="H199" s="2" t="str">
        <f>VLOOKUP(A199,Holidays!$A$2:$B$2107,2,1)</f>
        <v>Y</v>
      </c>
      <c r="I199" s="2" t="str">
        <f>VLOOKUP(A199,Holidays!$A$2:$C$2107,3,1)</f>
        <v>N</v>
      </c>
    </row>
    <row r="200" spans="1:9" x14ac:dyDescent="0.45">
      <c r="A200" s="1">
        <v>42203</v>
      </c>
      <c r="B200">
        <v>130187.44500000001</v>
      </c>
      <c r="C200">
        <v>44.097767079999997</v>
      </c>
      <c r="D200" s="2">
        <v>6.1</v>
      </c>
      <c r="E200" s="2">
        <v>11.5</v>
      </c>
      <c r="F200" s="2">
        <v>9.5</v>
      </c>
      <c r="G200" s="2">
        <v>0.4</v>
      </c>
      <c r="H200" s="2" t="str">
        <f>VLOOKUP(A200,Holidays!$A$2:$B$2107,2,1)</f>
        <v>Y</v>
      </c>
      <c r="I200" s="2" t="str">
        <f>VLOOKUP(A200,Holidays!$A$2:$C$2107,3,1)</f>
        <v>N</v>
      </c>
    </row>
    <row r="201" spans="1:9" x14ac:dyDescent="0.45">
      <c r="A201" s="1">
        <v>42204</v>
      </c>
      <c r="B201">
        <v>131141.35500000001</v>
      </c>
      <c r="C201">
        <v>43.573422479999998</v>
      </c>
      <c r="D201" s="2">
        <v>0.6</v>
      </c>
      <c r="E201" s="2">
        <v>12.1</v>
      </c>
      <c r="F201" s="2">
        <v>9.6999999999999993</v>
      </c>
      <c r="G201" s="2">
        <v>0</v>
      </c>
      <c r="H201" s="2" t="str">
        <f>VLOOKUP(A201,Holidays!$A$2:$B$2107,2,1)</f>
        <v>Y</v>
      </c>
      <c r="I201" s="2" t="str">
        <f>VLOOKUP(A201,Holidays!$A$2:$C$2107,3,1)</f>
        <v>N</v>
      </c>
    </row>
    <row r="202" spans="1:9" x14ac:dyDescent="0.45">
      <c r="A202" s="1">
        <v>42205</v>
      </c>
      <c r="B202">
        <v>146154.37</v>
      </c>
      <c r="C202">
        <v>41.79671269</v>
      </c>
      <c r="D202" s="2">
        <v>1.8</v>
      </c>
      <c r="E202" s="2">
        <v>14.7</v>
      </c>
      <c r="F202" s="2">
        <v>9.6999999999999993</v>
      </c>
      <c r="G202" s="2">
        <v>0</v>
      </c>
      <c r="H202" s="2" t="str">
        <f>VLOOKUP(A202,Holidays!$A$2:$B$2107,2,1)</f>
        <v>Y</v>
      </c>
      <c r="I202" s="2" t="str">
        <f>VLOOKUP(A202,Holidays!$A$2:$C$2107,3,1)</f>
        <v>N</v>
      </c>
    </row>
    <row r="203" spans="1:9" x14ac:dyDescent="0.45">
      <c r="A203" s="1">
        <v>42206</v>
      </c>
      <c r="B203">
        <v>138931.81</v>
      </c>
      <c r="C203">
        <v>28.895489680000001</v>
      </c>
      <c r="D203" s="2">
        <v>4.2</v>
      </c>
      <c r="E203" s="2">
        <v>17</v>
      </c>
      <c r="F203" s="2">
        <v>8.6</v>
      </c>
      <c r="G203" s="2">
        <v>0</v>
      </c>
      <c r="H203" s="2" t="str">
        <f>VLOOKUP(A203,Holidays!$A$2:$B$2107,2,1)</f>
        <v>Y</v>
      </c>
      <c r="I203" s="2" t="str">
        <f>VLOOKUP(A203,Holidays!$A$2:$C$2107,3,1)</f>
        <v>N</v>
      </c>
    </row>
    <row r="204" spans="1:9" x14ac:dyDescent="0.45">
      <c r="A204" s="1">
        <v>42207</v>
      </c>
      <c r="B204">
        <v>138418.83499999999</v>
      </c>
      <c r="C204">
        <v>33.707277519999998</v>
      </c>
      <c r="D204" s="2">
        <v>11.4</v>
      </c>
      <c r="E204" s="2">
        <v>16.600000000000001</v>
      </c>
      <c r="F204" s="2">
        <v>6</v>
      </c>
      <c r="G204" s="2">
        <v>1.6</v>
      </c>
      <c r="H204" s="2" t="str">
        <f>VLOOKUP(A204,Holidays!$A$2:$B$2107,2,1)</f>
        <v>Y</v>
      </c>
      <c r="I204" s="2" t="str">
        <f>VLOOKUP(A204,Holidays!$A$2:$C$2107,3,1)</f>
        <v>N</v>
      </c>
    </row>
    <row r="205" spans="1:9" x14ac:dyDescent="0.45">
      <c r="A205" s="1">
        <v>42208</v>
      </c>
      <c r="B205">
        <v>142316.29500000001</v>
      </c>
      <c r="C205">
        <v>33.975184839999997</v>
      </c>
      <c r="D205" s="2">
        <v>5.0999999999999996</v>
      </c>
      <c r="E205" s="2">
        <v>16.100000000000001</v>
      </c>
      <c r="F205" s="2">
        <v>9.5</v>
      </c>
      <c r="G205" s="2">
        <v>0</v>
      </c>
      <c r="H205" s="2" t="str">
        <f>VLOOKUP(A205,Holidays!$A$2:$B$2107,2,1)</f>
        <v>Y</v>
      </c>
      <c r="I205" s="2" t="str">
        <f>VLOOKUP(A205,Holidays!$A$2:$C$2107,3,1)</f>
        <v>N</v>
      </c>
    </row>
    <row r="206" spans="1:9" x14ac:dyDescent="0.45">
      <c r="A206" s="1">
        <v>42209</v>
      </c>
      <c r="B206">
        <v>136837.155</v>
      </c>
      <c r="C206">
        <v>27.669824500000001</v>
      </c>
      <c r="D206" s="2">
        <v>7.6</v>
      </c>
      <c r="E206" s="2">
        <v>15</v>
      </c>
      <c r="F206" s="2">
        <v>4.4000000000000004</v>
      </c>
      <c r="G206" s="2">
        <v>1.2</v>
      </c>
      <c r="H206" s="2" t="str">
        <f>VLOOKUP(A206,Holidays!$A$2:$B$2107,2,1)</f>
        <v>Y</v>
      </c>
      <c r="I206" s="2" t="str">
        <f>VLOOKUP(A206,Holidays!$A$2:$C$2107,3,1)</f>
        <v>N</v>
      </c>
    </row>
    <row r="207" spans="1:9" x14ac:dyDescent="0.45">
      <c r="A207" s="1">
        <v>42210</v>
      </c>
      <c r="B207">
        <v>121021.425</v>
      </c>
      <c r="C207">
        <v>22.239188500000001</v>
      </c>
      <c r="D207" s="2">
        <v>9.4</v>
      </c>
      <c r="E207" s="2">
        <v>13.3</v>
      </c>
      <c r="F207" s="2">
        <v>7.7</v>
      </c>
      <c r="G207" s="2">
        <v>0.8</v>
      </c>
      <c r="H207" s="2" t="str">
        <f>VLOOKUP(A207,Holidays!$A$2:$B$2107,2,1)</f>
        <v>Y</v>
      </c>
      <c r="I207" s="2" t="str">
        <f>VLOOKUP(A207,Holidays!$A$2:$C$2107,3,1)</f>
        <v>N</v>
      </c>
    </row>
    <row r="208" spans="1:9" x14ac:dyDescent="0.45">
      <c r="A208" s="1">
        <v>42211</v>
      </c>
      <c r="B208">
        <v>120396.735</v>
      </c>
      <c r="C208">
        <v>22.384246220000001</v>
      </c>
      <c r="D208" s="2">
        <v>8.1</v>
      </c>
      <c r="E208" s="2">
        <v>11.6</v>
      </c>
      <c r="F208" s="2">
        <v>8.5</v>
      </c>
      <c r="G208" s="2">
        <v>3.2</v>
      </c>
      <c r="H208" s="2" t="str">
        <f>VLOOKUP(A208,Holidays!$A$2:$B$2107,2,1)</f>
        <v>Y</v>
      </c>
      <c r="I208" s="2" t="str">
        <f>VLOOKUP(A208,Holidays!$A$2:$C$2107,3,1)</f>
        <v>N</v>
      </c>
    </row>
    <row r="209" spans="1:9" x14ac:dyDescent="0.45">
      <c r="A209" s="1">
        <v>42212</v>
      </c>
      <c r="B209">
        <v>142470.43</v>
      </c>
      <c r="C209">
        <v>35.176217450000003</v>
      </c>
      <c r="D209" s="2">
        <v>6.2</v>
      </c>
      <c r="E209" s="2">
        <v>13.9</v>
      </c>
      <c r="F209" s="2">
        <v>9.6</v>
      </c>
      <c r="G209" s="2">
        <v>0.8</v>
      </c>
      <c r="H209" s="2" t="str">
        <f>VLOOKUP(A209,Holidays!$A$2:$B$2107,2,1)</f>
        <v>Y</v>
      </c>
      <c r="I209" s="2" t="str">
        <f>VLOOKUP(A209,Holidays!$A$2:$C$2107,3,1)</f>
        <v>N</v>
      </c>
    </row>
    <row r="210" spans="1:9" x14ac:dyDescent="0.45">
      <c r="A210" s="1">
        <v>42213</v>
      </c>
      <c r="B210">
        <v>144008.37</v>
      </c>
      <c r="C210">
        <v>40.752987930000003</v>
      </c>
      <c r="D210" s="2">
        <v>7.9</v>
      </c>
      <c r="E210" s="2">
        <v>14.4</v>
      </c>
      <c r="F210" s="2">
        <v>10.199999999999999</v>
      </c>
      <c r="G210" s="2">
        <v>0</v>
      </c>
      <c r="H210" s="2" t="str">
        <f>VLOOKUP(A210,Holidays!$A$2:$B$2107,2,1)</f>
        <v>Y</v>
      </c>
      <c r="I210" s="2" t="str">
        <f>VLOOKUP(A210,Holidays!$A$2:$C$2107,3,1)</f>
        <v>N</v>
      </c>
    </row>
    <row r="211" spans="1:9" x14ac:dyDescent="0.45">
      <c r="A211" s="1">
        <v>42214</v>
      </c>
      <c r="B211">
        <v>142637.76000000001</v>
      </c>
      <c r="C211">
        <v>37.23752124</v>
      </c>
      <c r="D211" s="2">
        <v>8.4</v>
      </c>
      <c r="E211" s="2">
        <v>14</v>
      </c>
      <c r="F211" s="2">
        <v>9</v>
      </c>
      <c r="G211" s="2">
        <v>0</v>
      </c>
      <c r="H211" s="2" t="str">
        <f>VLOOKUP(A211,Holidays!$A$2:$B$2107,2,1)</f>
        <v>Y</v>
      </c>
      <c r="I211" s="2" t="str">
        <f>VLOOKUP(A211,Holidays!$A$2:$C$2107,3,1)</f>
        <v>N</v>
      </c>
    </row>
    <row r="212" spans="1:9" x14ac:dyDescent="0.45">
      <c r="A212" s="1">
        <v>42215</v>
      </c>
      <c r="B212">
        <v>143544.10999999999</v>
      </c>
      <c r="C212">
        <v>29.122837359999998</v>
      </c>
      <c r="D212" s="2">
        <v>8.6</v>
      </c>
      <c r="E212" s="2">
        <v>12.3</v>
      </c>
      <c r="F212" s="2">
        <v>4.5</v>
      </c>
      <c r="G212" s="2">
        <v>0</v>
      </c>
      <c r="H212" s="2" t="str">
        <f>VLOOKUP(A212,Holidays!$A$2:$B$2107,2,1)</f>
        <v>Y</v>
      </c>
      <c r="I212" s="2" t="str">
        <f>VLOOKUP(A212,Holidays!$A$2:$C$2107,3,1)</f>
        <v>N</v>
      </c>
    </row>
    <row r="213" spans="1:9" x14ac:dyDescent="0.45">
      <c r="A213" s="1">
        <v>42216</v>
      </c>
      <c r="B213">
        <v>139584.95499999999</v>
      </c>
      <c r="C213">
        <v>35.059771089999998</v>
      </c>
      <c r="D213" s="2">
        <v>4.0999999999999996</v>
      </c>
      <c r="E213" s="2">
        <v>14</v>
      </c>
      <c r="F213" s="2">
        <v>10.8</v>
      </c>
      <c r="G213" s="2">
        <v>0.6</v>
      </c>
      <c r="H213" s="2" t="str">
        <f>VLOOKUP(A213,Holidays!$A$2:$B$2107,2,1)</f>
        <v>Y</v>
      </c>
      <c r="I213" s="2" t="str">
        <f>VLOOKUP(A213,Holidays!$A$2:$C$2107,3,1)</f>
        <v>N</v>
      </c>
    </row>
    <row r="214" spans="1:9" x14ac:dyDescent="0.45">
      <c r="A214" s="1">
        <v>42217</v>
      </c>
      <c r="B214">
        <v>125032.57</v>
      </c>
      <c r="C214">
        <v>29.880139589999999</v>
      </c>
      <c r="D214" s="2">
        <v>6.5</v>
      </c>
      <c r="E214" s="2">
        <v>11.4</v>
      </c>
      <c r="F214" s="2">
        <v>4.2</v>
      </c>
      <c r="G214" s="2">
        <v>0.2</v>
      </c>
      <c r="H214" s="2" t="str">
        <f>VLOOKUP(A214,Holidays!$A$2:$B$2107,2,1)</f>
        <v>Y</v>
      </c>
      <c r="I214" s="2" t="str">
        <f>VLOOKUP(A214,Holidays!$A$2:$C$2107,3,1)</f>
        <v>N</v>
      </c>
    </row>
    <row r="215" spans="1:9" x14ac:dyDescent="0.45">
      <c r="A215" s="1">
        <v>42218</v>
      </c>
      <c r="B215">
        <v>117638.065</v>
      </c>
      <c r="C215">
        <v>23.37418658</v>
      </c>
      <c r="D215" s="2">
        <v>7.8</v>
      </c>
      <c r="E215" s="2">
        <v>14.9</v>
      </c>
      <c r="F215" s="2">
        <v>8.3000000000000007</v>
      </c>
      <c r="G215" s="2">
        <v>0</v>
      </c>
      <c r="H215" s="2" t="str">
        <f>VLOOKUP(A215,Holidays!$A$2:$B$2107,2,1)</f>
        <v>Y</v>
      </c>
      <c r="I215" s="2" t="str">
        <f>VLOOKUP(A215,Holidays!$A$2:$C$2107,3,1)</f>
        <v>N</v>
      </c>
    </row>
    <row r="216" spans="1:9" x14ac:dyDescent="0.45">
      <c r="A216" s="1">
        <v>42219</v>
      </c>
      <c r="B216">
        <v>141451.72500000001</v>
      </c>
      <c r="C216">
        <v>38.127978149999997</v>
      </c>
      <c r="D216" s="2">
        <v>7.3</v>
      </c>
      <c r="E216" s="2">
        <v>10.8</v>
      </c>
      <c r="F216" s="2">
        <v>9.4</v>
      </c>
      <c r="G216" s="2">
        <v>6.4</v>
      </c>
      <c r="H216" s="2" t="str">
        <f>VLOOKUP(A216,Holidays!$A$2:$B$2107,2,1)</f>
        <v>Y</v>
      </c>
      <c r="I216" s="2" t="str">
        <f>VLOOKUP(A216,Holidays!$A$2:$C$2107,3,1)</f>
        <v>N</v>
      </c>
    </row>
    <row r="217" spans="1:9" x14ac:dyDescent="0.45">
      <c r="A217" s="1">
        <v>42220</v>
      </c>
      <c r="B217">
        <v>147550.185</v>
      </c>
      <c r="C217">
        <v>44.673336380000002</v>
      </c>
      <c r="D217" s="2">
        <v>3.5</v>
      </c>
      <c r="E217" s="2">
        <v>11.3</v>
      </c>
      <c r="F217" s="2">
        <v>7.1</v>
      </c>
      <c r="G217" s="2">
        <v>0</v>
      </c>
      <c r="H217" s="2" t="str">
        <f>VLOOKUP(A217,Holidays!$A$2:$B$2107,2,1)</f>
        <v>Y</v>
      </c>
      <c r="I217" s="2" t="str">
        <f>VLOOKUP(A217,Holidays!$A$2:$C$2107,3,1)</f>
        <v>N</v>
      </c>
    </row>
    <row r="218" spans="1:9" x14ac:dyDescent="0.45">
      <c r="A218" s="1">
        <v>42221</v>
      </c>
      <c r="B218">
        <v>142325.99</v>
      </c>
      <c r="C218">
        <v>42.5957224</v>
      </c>
      <c r="D218" s="2">
        <v>6.6</v>
      </c>
      <c r="E218" s="2">
        <v>10.8</v>
      </c>
      <c r="F218" s="2">
        <v>8</v>
      </c>
      <c r="G218" s="2">
        <v>1</v>
      </c>
      <c r="H218" s="2" t="str">
        <f>VLOOKUP(A218,Holidays!$A$2:$B$2107,2,1)</f>
        <v>Y</v>
      </c>
      <c r="I218" s="2" t="str">
        <f>VLOOKUP(A218,Holidays!$A$2:$C$2107,3,1)</f>
        <v>N</v>
      </c>
    </row>
    <row r="219" spans="1:9" x14ac:dyDescent="0.45">
      <c r="A219" s="1">
        <v>42222</v>
      </c>
      <c r="B219">
        <v>143642.35500000001</v>
      </c>
      <c r="C219">
        <v>48.945172849999999</v>
      </c>
      <c r="D219" s="2">
        <v>7.1</v>
      </c>
      <c r="E219" s="2">
        <v>12.8</v>
      </c>
      <c r="F219" s="2">
        <v>7</v>
      </c>
      <c r="G219" s="2">
        <v>1.6</v>
      </c>
      <c r="H219" s="2" t="str">
        <f>VLOOKUP(A219,Holidays!$A$2:$B$2107,2,1)</f>
        <v>Y</v>
      </c>
      <c r="I219" s="2" t="str">
        <f>VLOOKUP(A219,Holidays!$A$2:$C$2107,3,1)</f>
        <v>N</v>
      </c>
    </row>
    <row r="220" spans="1:9" x14ac:dyDescent="0.45">
      <c r="A220" s="1">
        <v>42223</v>
      </c>
      <c r="B220">
        <v>143060.32999999999</v>
      </c>
      <c r="C220">
        <v>42.78284919</v>
      </c>
      <c r="D220" s="2">
        <v>9</v>
      </c>
      <c r="E220" s="2">
        <v>13.1</v>
      </c>
      <c r="F220" s="2">
        <v>9</v>
      </c>
      <c r="G220" s="2">
        <v>1.4</v>
      </c>
      <c r="H220" s="2" t="str">
        <f>VLOOKUP(A220,Holidays!$A$2:$B$2107,2,1)</f>
        <v>Y</v>
      </c>
      <c r="I220" s="2" t="str">
        <f>VLOOKUP(A220,Holidays!$A$2:$C$2107,3,1)</f>
        <v>N</v>
      </c>
    </row>
    <row r="221" spans="1:9" x14ac:dyDescent="0.45">
      <c r="A221" s="1">
        <v>42224</v>
      </c>
      <c r="B221">
        <v>125830.535</v>
      </c>
      <c r="C221">
        <v>39.116059980000003</v>
      </c>
      <c r="D221" s="2">
        <v>8.8000000000000007</v>
      </c>
      <c r="E221" s="2">
        <v>12.6</v>
      </c>
      <c r="F221" s="2">
        <v>6.6</v>
      </c>
      <c r="G221" s="2">
        <v>0.4</v>
      </c>
      <c r="H221" s="2" t="str">
        <f>VLOOKUP(A221,Holidays!$A$2:$B$2107,2,1)</f>
        <v>Y</v>
      </c>
      <c r="I221" s="2" t="str">
        <f>VLOOKUP(A221,Holidays!$A$2:$C$2107,3,1)</f>
        <v>N</v>
      </c>
    </row>
    <row r="222" spans="1:9" x14ac:dyDescent="0.45">
      <c r="A222" s="1">
        <v>42225</v>
      </c>
      <c r="B222">
        <v>120008.455</v>
      </c>
      <c r="C222">
        <v>29.441329450000001</v>
      </c>
      <c r="D222" s="2">
        <v>7.7</v>
      </c>
      <c r="E222" s="2">
        <v>13.3</v>
      </c>
      <c r="F222" s="2">
        <v>6.9</v>
      </c>
      <c r="G222" s="2">
        <v>0</v>
      </c>
      <c r="H222" s="2" t="str">
        <f>VLOOKUP(A222,Holidays!$A$2:$B$2107,2,1)</f>
        <v>Y</v>
      </c>
      <c r="I222" s="2" t="str">
        <f>VLOOKUP(A222,Holidays!$A$2:$C$2107,3,1)</f>
        <v>N</v>
      </c>
    </row>
    <row r="223" spans="1:9" x14ac:dyDescent="0.45">
      <c r="A223" s="1">
        <v>42226</v>
      </c>
      <c r="B223">
        <v>130978.095</v>
      </c>
      <c r="C223">
        <v>30.09105237</v>
      </c>
      <c r="D223" s="2">
        <v>8.3000000000000007</v>
      </c>
      <c r="E223" s="2">
        <v>16</v>
      </c>
      <c r="F223" s="2">
        <v>10.7</v>
      </c>
      <c r="G223" s="2">
        <v>0.2</v>
      </c>
      <c r="H223" s="2" t="str">
        <f>VLOOKUP(A223,Holidays!$A$2:$B$2107,2,1)</f>
        <v>Y</v>
      </c>
      <c r="I223" s="2" t="str">
        <f>VLOOKUP(A223,Holidays!$A$2:$C$2107,3,1)</f>
        <v>N</v>
      </c>
    </row>
    <row r="224" spans="1:9" x14ac:dyDescent="0.45">
      <c r="A224" s="1">
        <v>42227</v>
      </c>
      <c r="B224">
        <v>135616.125</v>
      </c>
      <c r="C224">
        <v>31.943313530000001</v>
      </c>
      <c r="D224" s="2">
        <v>7.8</v>
      </c>
      <c r="E224" s="2">
        <v>14.8</v>
      </c>
      <c r="F224" s="2">
        <v>11.7</v>
      </c>
      <c r="G224" s="2">
        <v>0.8</v>
      </c>
      <c r="H224" s="2" t="str">
        <f>VLOOKUP(A224,Holidays!$A$2:$B$2107,2,1)</f>
        <v>Y</v>
      </c>
      <c r="I224" s="2" t="str">
        <f>VLOOKUP(A224,Holidays!$A$2:$C$2107,3,1)</f>
        <v>N</v>
      </c>
    </row>
    <row r="225" spans="1:9" x14ac:dyDescent="0.45">
      <c r="A225" s="1">
        <v>42228</v>
      </c>
      <c r="B225">
        <v>138900.5</v>
      </c>
      <c r="C225">
        <v>37.338413869999997</v>
      </c>
      <c r="D225" s="2">
        <v>9.3000000000000007</v>
      </c>
      <c r="E225" s="2">
        <v>14.8</v>
      </c>
      <c r="F225" s="2">
        <v>9.1999999999999993</v>
      </c>
      <c r="G225" s="2">
        <v>0</v>
      </c>
      <c r="H225" s="2" t="str">
        <f>VLOOKUP(A225,Holidays!$A$2:$B$2107,2,1)</f>
        <v>Y</v>
      </c>
      <c r="I225" s="2" t="str">
        <f>VLOOKUP(A225,Holidays!$A$2:$C$2107,3,1)</f>
        <v>N</v>
      </c>
    </row>
    <row r="226" spans="1:9" x14ac:dyDescent="0.45">
      <c r="A226" s="1">
        <v>42229</v>
      </c>
      <c r="B226">
        <v>140905.85</v>
      </c>
      <c r="C226">
        <v>36.730540580000003</v>
      </c>
      <c r="D226" s="2">
        <v>8.4</v>
      </c>
      <c r="E226" s="2">
        <v>13</v>
      </c>
      <c r="F226" s="2">
        <v>7</v>
      </c>
      <c r="G226" s="2">
        <v>0.2</v>
      </c>
      <c r="H226" s="2" t="str">
        <f>VLOOKUP(A226,Holidays!$A$2:$B$2107,2,1)</f>
        <v>Y</v>
      </c>
      <c r="I226" s="2" t="str">
        <f>VLOOKUP(A226,Holidays!$A$2:$C$2107,3,1)</f>
        <v>N</v>
      </c>
    </row>
    <row r="227" spans="1:9" x14ac:dyDescent="0.45">
      <c r="A227" s="1">
        <v>42230</v>
      </c>
      <c r="B227">
        <v>137838.92499999999</v>
      </c>
      <c r="C227">
        <v>35.437737390000002</v>
      </c>
      <c r="D227" s="2">
        <v>10.4</v>
      </c>
      <c r="E227" s="2">
        <v>15.3</v>
      </c>
      <c r="F227" s="2">
        <v>7.3</v>
      </c>
      <c r="G227" s="2">
        <v>0</v>
      </c>
      <c r="H227" s="2" t="str">
        <f>VLOOKUP(A227,Holidays!$A$2:$B$2107,2,1)</f>
        <v>Y</v>
      </c>
      <c r="I227" s="2" t="str">
        <f>VLOOKUP(A227,Holidays!$A$2:$C$2107,3,1)</f>
        <v>N</v>
      </c>
    </row>
    <row r="228" spans="1:9" x14ac:dyDescent="0.45">
      <c r="A228" s="1">
        <v>42231</v>
      </c>
      <c r="B228">
        <v>122088.76</v>
      </c>
      <c r="C228">
        <v>34.086154360000002</v>
      </c>
      <c r="D228" s="2">
        <v>10</v>
      </c>
      <c r="E228" s="2">
        <v>14.9</v>
      </c>
      <c r="F228" s="2">
        <v>10.9</v>
      </c>
      <c r="G228" s="2">
        <v>0.4</v>
      </c>
      <c r="H228" s="2" t="str">
        <f>VLOOKUP(A228,Holidays!$A$2:$B$2107,2,1)</f>
        <v>Y</v>
      </c>
      <c r="I228" s="2" t="str">
        <f>VLOOKUP(A228,Holidays!$A$2:$C$2107,3,1)</f>
        <v>N</v>
      </c>
    </row>
    <row r="229" spans="1:9" x14ac:dyDescent="0.45">
      <c r="A229" s="1">
        <v>42232</v>
      </c>
      <c r="B229">
        <v>116648.77</v>
      </c>
      <c r="C229">
        <v>25.317649410000001</v>
      </c>
      <c r="D229" s="2">
        <v>4.7</v>
      </c>
      <c r="E229" s="2">
        <v>17</v>
      </c>
      <c r="F229" s="2">
        <v>9.5</v>
      </c>
      <c r="G229" s="2">
        <v>0.2</v>
      </c>
      <c r="H229" s="2" t="str">
        <f>VLOOKUP(A229,Holidays!$A$2:$B$2107,2,1)</f>
        <v>Y</v>
      </c>
      <c r="I229" s="2" t="str">
        <f>VLOOKUP(A229,Holidays!$A$2:$C$2107,3,1)</f>
        <v>N</v>
      </c>
    </row>
    <row r="230" spans="1:9" x14ac:dyDescent="0.45">
      <c r="A230" s="1">
        <v>42233</v>
      </c>
      <c r="B230">
        <v>137008.71</v>
      </c>
      <c r="C230">
        <v>31.793730230000001</v>
      </c>
      <c r="D230" s="2">
        <v>6.8</v>
      </c>
      <c r="E230" s="2">
        <v>12.2</v>
      </c>
      <c r="F230" s="2">
        <v>9.9</v>
      </c>
      <c r="G230" s="2">
        <v>2.4</v>
      </c>
      <c r="H230" s="2" t="str">
        <f>VLOOKUP(A230,Holidays!$A$2:$B$2107,2,1)</f>
        <v>Y</v>
      </c>
      <c r="I230" s="2" t="str">
        <f>VLOOKUP(A230,Holidays!$A$2:$C$2107,3,1)</f>
        <v>N</v>
      </c>
    </row>
    <row r="231" spans="1:9" x14ac:dyDescent="0.45">
      <c r="A231" s="1">
        <v>42234</v>
      </c>
      <c r="B231">
        <v>148093.96</v>
      </c>
      <c r="C231">
        <v>45.286687059999998</v>
      </c>
      <c r="D231" s="2">
        <v>6.1</v>
      </c>
      <c r="E231" s="2">
        <v>11.1</v>
      </c>
      <c r="F231" s="2">
        <v>9.8000000000000007</v>
      </c>
      <c r="G231" s="2">
        <v>0.6</v>
      </c>
      <c r="H231" s="2" t="str">
        <f>VLOOKUP(A231,Holidays!$A$2:$B$2107,2,1)</f>
        <v>Y</v>
      </c>
      <c r="I231" s="2" t="str">
        <f>VLOOKUP(A231,Holidays!$A$2:$C$2107,3,1)</f>
        <v>N</v>
      </c>
    </row>
    <row r="232" spans="1:9" x14ac:dyDescent="0.45">
      <c r="A232" s="1">
        <v>42235</v>
      </c>
      <c r="B232">
        <v>144024.66</v>
      </c>
      <c r="C232">
        <v>39.23515304</v>
      </c>
      <c r="D232" s="2">
        <v>5.5</v>
      </c>
      <c r="E232" s="2">
        <v>12.7</v>
      </c>
      <c r="F232" s="2">
        <v>10.199999999999999</v>
      </c>
      <c r="G232" s="2">
        <v>0</v>
      </c>
      <c r="H232" s="2" t="str">
        <f>VLOOKUP(A232,Holidays!$A$2:$B$2107,2,1)</f>
        <v>Y</v>
      </c>
      <c r="I232" s="2" t="str">
        <f>VLOOKUP(A232,Holidays!$A$2:$C$2107,3,1)</f>
        <v>N</v>
      </c>
    </row>
    <row r="233" spans="1:9" x14ac:dyDescent="0.45">
      <c r="A233" s="1">
        <v>42236</v>
      </c>
      <c r="B233">
        <v>131575.79</v>
      </c>
      <c r="C233">
        <v>30.545000609999999</v>
      </c>
      <c r="D233" s="2">
        <v>6.1</v>
      </c>
      <c r="E233" s="2">
        <v>17.100000000000001</v>
      </c>
      <c r="F233" s="2">
        <v>12.7</v>
      </c>
      <c r="G233" s="2">
        <v>0</v>
      </c>
      <c r="H233" s="2" t="str">
        <f>VLOOKUP(A233,Holidays!$A$2:$B$2107,2,1)</f>
        <v>Y</v>
      </c>
      <c r="I233" s="2" t="str">
        <f>VLOOKUP(A233,Holidays!$A$2:$C$2107,3,1)</f>
        <v>N</v>
      </c>
    </row>
    <row r="234" spans="1:9" x14ac:dyDescent="0.45">
      <c r="A234" s="1">
        <v>42237</v>
      </c>
      <c r="B234">
        <v>126570.47</v>
      </c>
      <c r="C234">
        <v>38.888472040000003</v>
      </c>
      <c r="D234" s="2">
        <v>10.9</v>
      </c>
      <c r="E234" s="2">
        <v>18.7</v>
      </c>
      <c r="F234" s="2">
        <v>4.0999999999999996</v>
      </c>
      <c r="G234" s="2">
        <v>0</v>
      </c>
      <c r="H234" s="2" t="str">
        <f>VLOOKUP(A234,Holidays!$A$2:$B$2107,2,1)</f>
        <v>Y</v>
      </c>
      <c r="I234" s="2" t="str">
        <f>VLOOKUP(A234,Holidays!$A$2:$C$2107,3,1)</f>
        <v>N</v>
      </c>
    </row>
    <row r="235" spans="1:9" x14ac:dyDescent="0.45">
      <c r="A235" s="1">
        <v>42238</v>
      </c>
      <c r="B235">
        <v>112275.15</v>
      </c>
      <c r="C235">
        <v>32.238321669999998</v>
      </c>
      <c r="D235" s="2">
        <v>11.8</v>
      </c>
      <c r="E235" s="2">
        <v>18.8</v>
      </c>
      <c r="F235" s="2">
        <v>11.8</v>
      </c>
      <c r="G235" s="2">
        <v>0</v>
      </c>
      <c r="H235" s="2" t="str">
        <f>VLOOKUP(A235,Holidays!$A$2:$B$2107,2,1)</f>
        <v>Y</v>
      </c>
      <c r="I235" s="2" t="str">
        <f>VLOOKUP(A235,Holidays!$A$2:$C$2107,3,1)</f>
        <v>N</v>
      </c>
    </row>
    <row r="236" spans="1:9" x14ac:dyDescent="0.45">
      <c r="A236" s="1">
        <v>42239</v>
      </c>
      <c r="B236">
        <v>111793.015</v>
      </c>
      <c r="C236">
        <v>29.441348720000001</v>
      </c>
      <c r="D236" s="2">
        <v>7.9</v>
      </c>
      <c r="E236" s="2">
        <v>16.3</v>
      </c>
      <c r="F236" s="2">
        <v>13.1</v>
      </c>
      <c r="G236" s="2">
        <v>0</v>
      </c>
      <c r="H236" s="2" t="str">
        <f>VLOOKUP(A236,Holidays!$A$2:$B$2107,2,1)</f>
        <v>Y</v>
      </c>
      <c r="I236" s="2" t="str">
        <f>VLOOKUP(A236,Holidays!$A$2:$C$2107,3,1)</f>
        <v>N</v>
      </c>
    </row>
    <row r="237" spans="1:9" x14ac:dyDescent="0.45">
      <c r="A237" s="1">
        <v>42240</v>
      </c>
      <c r="B237">
        <v>128868.255</v>
      </c>
      <c r="C237">
        <v>26.612662889999999</v>
      </c>
      <c r="D237" s="2">
        <v>8.5</v>
      </c>
      <c r="E237" s="2">
        <v>14.5</v>
      </c>
      <c r="F237" s="2">
        <v>9.6</v>
      </c>
      <c r="G237" s="2">
        <v>0</v>
      </c>
      <c r="H237" s="2" t="str">
        <f>VLOOKUP(A237,Holidays!$A$2:$B$2107,2,1)</f>
        <v>Y</v>
      </c>
      <c r="I237" s="2" t="str">
        <f>VLOOKUP(A237,Holidays!$A$2:$C$2107,3,1)</f>
        <v>N</v>
      </c>
    </row>
    <row r="238" spans="1:9" x14ac:dyDescent="0.45">
      <c r="A238" s="1">
        <v>42241</v>
      </c>
      <c r="B238">
        <v>135051.54500000001</v>
      </c>
      <c r="C238">
        <v>28.80467771</v>
      </c>
      <c r="D238" s="2">
        <v>9.5</v>
      </c>
      <c r="E238" s="2">
        <v>14.3</v>
      </c>
      <c r="F238" s="2">
        <v>8.1</v>
      </c>
      <c r="G238" s="2">
        <v>0</v>
      </c>
      <c r="H238" s="2" t="str">
        <f>VLOOKUP(A238,Holidays!$A$2:$B$2107,2,1)</f>
        <v>Y</v>
      </c>
      <c r="I238" s="2" t="str">
        <f>VLOOKUP(A238,Holidays!$A$2:$C$2107,3,1)</f>
        <v>N</v>
      </c>
    </row>
    <row r="239" spans="1:9" x14ac:dyDescent="0.45">
      <c r="A239" s="1">
        <v>42242</v>
      </c>
      <c r="B239">
        <v>135914.68</v>
      </c>
      <c r="C239">
        <v>37.131774679999999</v>
      </c>
      <c r="D239" s="2">
        <v>9.1999999999999993</v>
      </c>
      <c r="E239" s="2">
        <v>14.6</v>
      </c>
      <c r="F239" s="2">
        <v>7.8</v>
      </c>
      <c r="G239" s="2">
        <v>0.2</v>
      </c>
      <c r="H239" s="2" t="str">
        <f>VLOOKUP(A239,Holidays!$A$2:$B$2107,2,1)</f>
        <v>Y</v>
      </c>
      <c r="I239" s="2" t="str">
        <f>VLOOKUP(A239,Holidays!$A$2:$C$2107,3,1)</f>
        <v>N</v>
      </c>
    </row>
    <row r="240" spans="1:9" x14ac:dyDescent="0.45">
      <c r="A240" s="1">
        <v>42243</v>
      </c>
      <c r="B240">
        <v>141159.76999999999</v>
      </c>
      <c r="C240">
        <v>41.605335449999998</v>
      </c>
      <c r="D240" s="2">
        <v>9.8000000000000007</v>
      </c>
      <c r="E240" s="2">
        <v>11.7</v>
      </c>
      <c r="F240" s="2">
        <v>2.7</v>
      </c>
      <c r="G240" s="2">
        <v>0.8</v>
      </c>
      <c r="H240" s="2" t="str">
        <f>VLOOKUP(A240,Holidays!$A$2:$B$2107,2,1)</f>
        <v>Y</v>
      </c>
      <c r="I240" s="2" t="str">
        <f>VLOOKUP(A240,Holidays!$A$2:$C$2107,3,1)</f>
        <v>N</v>
      </c>
    </row>
    <row r="241" spans="1:9" x14ac:dyDescent="0.45">
      <c r="A241" s="1">
        <v>42244</v>
      </c>
      <c r="B241">
        <v>134755.505</v>
      </c>
      <c r="C241">
        <v>38.179120070000003</v>
      </c>
      <c r="D241" s="2">
        <v>8.1</v>
      </c>
      <c r="E241" s="2">
        <v>13.2</v>
      </c>
      <c r="F241" s="2">
        <v>12.2</v>
      </c>
      <c r="G241" s="2">
        <v>17.399999999999999</v>
      </c>
      <c r="H241" s="2" t="str">
        <f>VLOOKUP(A241,Holidays!$A$2:$B$2107,2,1)</f>
        <v>Y</v>
      </c>
      <c r="I241" s="2" t="str">
        <f>VLOOKUP(A241,Holidays!$A$2:$C$2107,3,1)</f>
        <v>N</v>
      </c>
    </row>
    <row r="242" spans="1:9" x14ac:dyDescent="0.45">
      <c r="A242" s="1">
        <v>42245</v>
      </c>
      <c r="B242">
        <v>124448.5</v>
      </c>
      <c r="C242">
        <v>35.474513610000002</v>
      </c>
      <c r="D242" s="2">
        <v>6.3</v>
      </c>
      <c r="E242" s="2">
        <v>11.7</v>
      </c>
      <c r="F242" s="2">
        <v>9.1</v>
      </c>
      <c r="G242" s="2">
        <v>1.8</v>
      </c>
      <c r="H242" s="2" t="str">
        <f>VLOOKUP(A242,Holidays!$A$2:$B$2107,2,1)</f>
        <v>Y</v>
      </c>
      <c r="I242" s="2" t="str">
        <f>VLOOKUP(A242,Holidays!$A$2:$C$2107,3,1)</f>
        <v>N</v>
      </c>
    </row>
    <row r="243" spans="1:9" x14ac:dyDescent="0.45">
      <c r="A243" s="1">
        <v>42246</v>
      </c>
      <c r="B243">
        <v>116744.215</v>
      </c>
      <c r="C243">
        <v>42.414179560000001</v>
      </c>
      <c r="D243" s="2">
        <v>7.9</v>
      </c>
      <c r="E243" s="2">
        <v>12.5</v>
      </c>
      <c r="F243" s="2">
        <v>14.3</v>
      </c>
      <c r="G243" s="2">
        <v>2.2000000000000002</v>
      </c>
      <c r="H243" s="2" t="str">
        <f>VLOOKUP(A243,Holidays!$A$2:$B$2107,2,1)</f>
        <v>Y</v>
      </c>
      <c r="I243" s="2" t="str">
        <f>VLOOKUP(A243,Holidays!$A$2:$C$2107,3,1)</f>
        <v>N</v>
      </c>
    </row>
    <row r="244" spans="1:9" x14ac:dyDescent="0.45">
      <c r="A244" s="1">
        <v>42247</v>
      </c>
      <c r="B244">
        <v>137724.89499999999</v>
      </c>
      <c r="C244">
        <v>50.273287490000001</v>
      </c>
      <c r="D244" s="2">
        <v>8.1</v>
      </c>
      <c r="E244" s="2">
        <v>13</v>
      </c>
      <c r="F244" s="2">
        <v>11.5</v>
      </c>
      <c r="G244" s="2">
        <v>0</v>
      </c>
      <c r="H244" s="2" t="str">
        <f>VLOOKUP(A244,Holidays!$A$2:$B$2107,2,1)</f>
        <v>Y</v>
      </c>
      <c r="I244" s="2" t="str">
        <f>VLOOKUP(A244,Holidays!$A$2:$C$2107,3,1)</f>
        <v>N</v>
      </c>
    </row>
    <row r="245" spans="1:9" x14ac:dyDescent="0.45">
      <c r="A245" s="1">
        <v>42248</v>
      </c>
      <c r="B245">
        <v>134116.76999999999</v>
      </c>
      <c r="C245">
        <v>50.145784390000003</v>
      </c>
      <c r="D245" s="2">
        <v>5.0999999999999996</v>
      </c>
      <c r="E245" s="2">
        <v>16.2</v>
      </c>
      <c r="F245" s="2">
        <v>15.7</v>
      </c>
      <c r="G245" s="2">
        <v>0</v>
      </c>
      <c r="H245" s="2" t="str">
        <f>VLOOKUP(A245,Holidays!$A$2:$B$2107,2,1)</f>
        <v>Y</v>
      </c>
      <c r="I245" s="2" t="str">
        <f>VLOOKUP(A245,Holidays!$A$2:$C$2107,3,1)</f>
        <v>N</v>
      </c>
    </row>
    <row r="246" spans="1:9" x14ac:dyDescent="0.45">
      <c r="A246" s="1">
        <v>42249</v>
      </c>
      <c r="B246">
        <v>132794.715</v>
      </c>
      <c r="C246">
        <v>49.03831254</v>
      </c>
      <c r="D246" s="2">
        <v>8</v>
      </c>
      <c r="E246" s="2">
        <v>18.8</v>
      </c>
      <c r="F246" s="2">
        <v>10.5</v>
      </c>
      <c r="G246" s="2">
        <v>0</v>
      </c>
      <c r="H246" s="2" t="str">
        <f>VLOOKUP(A246,Holidays!$A$2:$B$2107,2,1)</f>
        <v>Y</v>
      </c>
      <c r="I246" s="2" t="str">
        <f>VLOOKUP(A246,Holidays!$A$2:$C$2107,3,1)</f>
        <v>N</v>
      </c>
    </row>
    <row r="247" spans="1:9" x14ac:dyDescent="0.45">
      <c r="A247" s="1">
        <v>42250</v>
      </c>
      <c r="B247">
        <v>132096.33499999999</v>
      </c>
      <c r="C247">
        <v>45.546264669999999</v>
      </c>
      <c r="D247" s="2">
        <v>10.6</v>
      </c>
      <c r="E247" s="2">
        <v>14</v>
      </c>
      <c r="F247" s="2">
        <v>8</v>
      </c>
      <c r="G247" s="2">
        <v>4.4000000000000004</v>
      </c>
      <c r="H247" s="2" t="str">
        <f>VLOOKUP(A247,Holidays!$A$2:$B$2107,2,1)</f>
        <v>Y</v>
      </c>
      <c r="I247" s="2" t="str">
        <f>VLOOKUP(A247,Holidays!$A$2:$C$2107,3,1)</f>
        <v>N</v>
      </c>
    </row>
    <row r="248" spans="1:9" x14ac:dyDescent="0.45">
      <c r="A248" s="1">
        <v>42251</v>
      </c>
      <c r="B248">
        <v>131384.88</v>
      </c>
      <c r="C248">
        <v>65.73690671</v>
      </c>
      <c r="D248" s="2">
        <v>8.6999999999999993</v>
      </c>
      <c r="E248" s="2">
        <v>13.7</v>
      </c>
      <c r="F248" s="2">
        <v>13</v>
      </c>
      <c r="G248" s="2">
        <v>0</v>
      </c>
      <c r="H248" s="2" t="str">
        <f>VLOOKUP(A248,Holidays!$A$2:$B$2107,2,1)</f>
        <v>Y</v>
      </c>
      <c r="I248" s="2" t="str">
        <f>VLOOKUP(A248,Holidays!$A$2:$C$2107,3,1)</f>
        <v>N</v>
      </c>
    </row>
    <row r="249" spans="1:9" x14ac:dyDescent="0.45">
      <c r="A249" s="1">
        <v>42252</v>
      </c>
      <c r="B249">
        <v>115799.32</v>
      </c>
      <c r="C249">
        <v>57.177569200000001</v>
      </c>
      <c r="D249" s="2">
        <v>10.199999999999999</v>
      </c>
      <c r="E249" s="2">
        <v>14</v>
      </c>
      <c r="F249" s="2">
        <v>14.8</v>
      </c>
      <c r="G249" s="2">
        <v>0</v>
      </c>
      <c r="H249" s="2" t="str">
        <f>VLOOKUP(A249,Holidays!$A$2:$B$2107,2,1)</f>
        <v>Y</v>
      </c>
      <c r="I249" s="2" t="str">
        <f>VLOOKUP(A249,Holidays!$A$2:$C$2107,3,1)</f>
        <v>N</v>
      </c>
    </row>
    <row r="250" spans="1:9" x14ac:dyDescent="0.45">
      <c r="A250" s="1">
        <v>42253</v>
      </c>
      <c r="B250">
        <v>109641.375</v>
      </c>
      <c r="C250">
        <v>40.581765519999998</v>
      </c>
      <c r="D250" s="2">
        <v>5.8</v>
      </c>
      <c r="E250" s="2">
        <v>16.600000000000001</v>
      </c>
      <c r="F250" s="2">
        <v>11.8</v>
      </c>
      <c r="G250" s="2">
        <v>0</v>
      </c>
      <c r="H250" s="2" t="str">
        <f>VLOOKUP(A250,Holidays!$A$2:$B$2107,2,1)</f>
        <v>Y</v>
      </c>
      <c r="I250" s="2" t="str">
        <f>VLOOKUP(A250,Holidays!$A$2:$C$2107,3,1)</f>
        <v>N</v>
      </c>
    </row>
    <row r="251" spans="1:9" x14ac:dyDescent="0.45">
      <c r="A251" s="1">
        <v>42254</v>
      </c>
      <c r="B251">
        <v>131619.36499999999</v>
      </c>
      <c r="C251">
        <v>38.52697878</v>
      </c>
      <c r="D251" s="2">
        <v>8.9</v>
      </c>
      <c r="E251" s="2">
        <v>13.6</v>
      </c>
      <c r="F251" s="2">
        <v>9.1999999999999993</v>
      </c>
      <c r="G251" s="2">
        <v>3.6</v>
      </c>
      <c r="H251" s="2" t="str">
        <f>VLOOKUP(A251,Holidays!$A$2:$B$2107,2,1)</f>
        <v>Y</v>
      </c>
      <c r="I251" s="2" t="str">
        <f>VLOOKUP(A251,Holidays!$A$2:$C$2107,3,1)</f>
        <v>N</v>
      </c>
    </row>
    <row r="252" spans="1:9" x14ac:dyDescent="0.45">
      <c r="A252" s="1">
        <v>42255</v>
      </c>
      <c r="B252">
        <v>136340.70000000001</v>
      </c>
      <c r="C252">
        <v>41.710381609999999</v>
      </c>
      <c r="D252" s="2">
        <v>8.8000000000000007</v>
      </c>
      <c r="E252" s="2">
        <v>12.8</v>
      </c>
      <c r="F252" s="2">
        <v>11.1</v>
      </c>
      <c r="G252" s="2">
        <v>2</v>
      </c>
      <c r="H252" s="2" t="str">
        <f>VLOOKUP(A252,Holidays!$A$2:$B$2107,2,1)</f>
        <v>Y</v>
      </c>
      <c r="I252" s="2" t="str">
        <f>VLOOKUP(A252,Holidays!$A$2:$C$2107,3,1)</f>
        <v>N</v>
      </c>
    </row>
    <row r="253" spans="1:9" x14ac:dyDescent="0.45">
      <c r="A253" s="1">
        <v>42256</v>
      </c>
      <c r="B253">
        <v>132977.45000000001</v>
      </c>
      <c r="C253">
        <v>48.128104839999999</v>
      </c>
      <c r="D253" s="2">
        <v>10</v>
      </c>
      <c r="E253" s="2">
        <v>15.3</v>
      </c>
      <c r="F253" s="2">
        <v>11.4</v>
      </c>
      <c r="G253" s="2">
        <v>0</v>
      </c>
      <c r="H253" s="2" t="str">
        <f>VLOOKUP(A253,Holidays!$A$2:$B$2107,2,1)</f>
        <v>Y</v>
      </c>
      <c r="I253" s="2" t="str">
        <f>VLOOKUP(A253,Holidays!$A$2:$C$2107,3,1)</f>
        <v>N</v>
      </c>
    </row>
    <row r="254" spans="1:9" x14ac:dyDescent="0.45">
      <c r="A254" s="1">
        <v>42257</v>
      </c>
      <c r="B254">
        <v>133541.98000000001</v>
      </c>
      <c r="C254">
        <v>48.919566619999998</v>
      </c>
      <c r="D254" s="2">
        <v>10</v>
      </c>
      <c r="E254" s="2">
        <v>15.7</v>
      </c>
      <c r="F254" s="2">
        <v>17.3</v>
      </c>
      <c r="G254" s="2">
        <v>0</v>
      </c>
      <c r="H254" s="2" t="str">
        <f>VLOOKUP(A254,Holidays!$A$2:$B$2107,2,1)</f>
        <v>Y</v>
      </c>
      <c r="I254" s="2" t="str">
        <f>VLOOKUP(A254,Holidays!$A$2:$C$2107,3,1)</f>
        <v>N</v>
      </c>
    </row>
    <row r="255" spans="1:9" x14ac:dyDescent="0.45">
      <c r="A255" s="1">
        <v>42258</v>
      </c>
      <c r="B255">
        <v>123968.9</v>
      </c>
      <c r="C255">
        <v>36.08846518</v>
      </c>
      <c r="D255" s="2">
        <v>5.0999999999999996</v>
      </c>
      <c r="E255" s="2">
        <v>20.100000000000001</v>
      </c>
      <c r="F255" s="2">
        <v>17.7</v>
      </c>
      <c r="G255" s="2">
        <v>0</v>
      </c>
      <c r="H255" s="2" t="str">
        <f>VLOOKUP(A255,Holidays!$A$2:$B$2107,2,1)</f>
        <v>Y</v>
      </c>
      <c r="I255" s="2" t="str">
        <f>VLOOKUP(A255,Holidays!$A$2:$C$2107,3,1)</f>
        <v>N</v>
      </c>
    </row>
    <row r="256" spans="1:9" x14ac:dyDescent="0.45">
      <c r="A256" s="1">
        <v>42259</v>
      </c>
      <c r="B256">
        <v>108790.005</v>
      </c>
      <c r="C256">
        <v>37.654551560000002</v>
      </c>
      <c r="D256" s="2">
        <v>12.2</v>
      </c>
      <c r="E256" s="2">
        <v>21.7</v>
      </c>
      <c r="F256" s="2">
        <v>10.199999999999999</v>
      </c>
      <c r="G256" s="2">
        <v>0</v>
      </c>
      <c r="H256" s="2" t="str">
        <f>VLOOKUP(A256,Holidays!$A$2:$B$2107,2,1)</f>
        <v>Y</v>
      </c>
      <c r="I256" s="2" t="str">
        <f>VLOOKUP(A256,Holidays!$A$2:$C$2107,3,1)</f>
        <v>N</v>
      </c>
    </row>
    <row r="257" spans="1:9" x14ac:dyDescent="0.45">
      <c r="A257" s="1">
        <v>42260</v>
      </c>
      <c r="B257">
        <v>99161.764999999999</v>
      </c>
      <c r="C257">
        <v>30.359605869999999</v>
      </c>
      <c r="D257" s="2">
        <v>13.2</v>
      </c>
      <c r="E257" s="2">
        <v>25.5</v>
      </c>
      <c r="F257" s="2">
        <v>17.100000000000001</v>
      </c>
      <c r="G257" s="2">
        <v>0</v>
      </c>
      <c r="H257" s="2" t="str">
        <f>VLOOKUP(A257,Holidays!$A$2:$B$2107,2,1)</f>
        <v>Y</v>
      </c>
      <c r="I257" s="2" t="str">
        <f>VLOOKUP(A257,Holidays!$A$2:$C$2107,3,1)</f>
        <v>N</v>
      </c>
    </row>
    <row r="258" spans="1:9" x14ac:dyDescent="0.45">
      <c r="A258" s="1">
        <v>42261</v>
      </c>
      <c r="B258">
        <v>116574.17</v>
      </c>
      <c r="C258">
        <v>32.345654209999999</v>
      </c>
      <c r="D258" s="2">
        <v>15.4</v>
      </c>
      <c r="E258" s="2">
        <v>26.7</v>
      </c>
      <c r="F258" s="2">
        <v>17.8</v>
      </c>
      <c r="G258" s="2">
        <v>0</v>
      </c>
      <c r="H258" s="2" t="str">
        <f>VLOOKUP(A258,Holidays!$A$2:$B$2107,2,1)</f>
        <v>Y</v>
      </c>
      <c r="I258" s="2" t="str">
        <f>VLOOKUP(A258,Holidays!$A$2:$C$2107,3,1)</f>
        <v>N</v>
      </c>
    </row>
    <row r="259" spans="1:9" x14ac:dyDescent="0.45">
      <c r="A259" s="1">
        <v>42262</v>
      </c>
      <c r="B259">
        <v>123750.5</v>
      </c>
      <c r="C259">
        <v>34.506522410000002</v>
      </c>
      <c r="D259" s="2">
        <v>10.8</v>
      </c>
      <c r="E259" s="2">
        <v>15.9</v>
      </c>
      <c r="F259" s="2">
        <v>15</v>
      </c>
      <c r="G259" s="2">
        <v>15.8</v>
      </c>
      <c r="H259" s="2" t="str">
        <f>VLOOKUP(A259,Holidays!$A$2:$B$2107,2,1)</f>
        <v>Y</v>
      </c>
      <c r="I259" s="2" t="str">
        <f>VLOOKUP(A259,Holidays!$A$2:$C$2107,3,1)</f>
        <v>N</v>
      </c>
    </row>
    <row r="260" spans="1:9" x14ac:dyDescent="0.45">
      <c r="A260" s="1">
        <v>42263</v>
      </c>
      <c r="B260">
        <v>131795.48499999999</v>
      </c>
      <c r="C260">
        <v>38.966062469999997</v>
      </c>
      <c r="D260" s="2">
        <v>8.9</v>
      </c>
      <c r="E260" s="2">
        <v>14.8</v>
      </c>
      <c r="F260" s="2">
        <v>17.600000000000001</v>
      </c>
      <c r="G260" s="2">
        <v>0</v>
      </c>
      <c r="H260" s="2" t="str">
        <f>VLOOKUP(A260,Holidays!$A$2:$B$2107,2,1)</f>
        <v>Y</v>
      </c>
      <c r="I260" s="2" t="str">
        <f>VLOOKUP(A260,Holidays!$A$2:$C$2107,3,1)</f>
        <v>N</v>
      </c>
    </row>
    <row r="261" spans="1:9" x14ac:dyDescent="0.45">
      <c r="A261" s="1">
        <v>42264</v>
      </c>
      <c r="B261">
        <v>131050.675</v>
      </c>
      <c r="C261">
        <v>40.639264369999999</v>
      </c>
      <c r="D261" s="2">
        <v>9</v>
      </c>
      <c r="E261" s="2">
        <v>14.3</v>
      </c>
      <c r="F261" s="2">
        <v>12.4</v>
      </c>
      <c r="G261" s="2">
        <v>0.4</v>
      </c>
      <c r="H261" s="2" t="str">
        <f>VLOOKUP(A261,Holidays!$A$2:$B$2107,2,1)</f>
        <v>Y</v>
      </c>
      <c r="I261" s="2" t="str">
        <f>VLOOKUP(A261,Holidays!$A$2:$C$2107,3,1)</f>
        <v>N</v>
      </c>
    </row>
    <row r="262" spans="1:9" x14ac:dyDescent="0.45">
      <c r="A262" s="1">
        <v>42265</v>
      </c>
      <c r="B262">
        <v>130764.58500000001</v>
      </c>
      <c r="C262">
        <v>40.630081019999999</v>
      </c>
      <c r="D262" s="2">
        <v>10.5</v>
      </c>
      <c r="E262" s="2">
        <v>14.7</v>
      </c>
      <c r="F262" s="2">
        <v>8.1</v>
      </c>
      <c r="G262" s="2">
        <v>0</v>
      </c>
      <c r="H262" s="2" t="str">
        <f>VLOOKUP(A262,Holidays!$A$2:$B$2107,2,1)</f>
        <v>N</v>
      </c>
      <c r="I262" s="2" t="str">
        <f>VLOOKUP(A262,Holidays!$A$2:$C$2107,3,1)</f>
        <v>N</v>
      </c>
    </row>
    <row r="263" spans="1:9" x14ac:dyDescent="0.45">
      <c r="A263" s="1">
        <v>42266</v>
      </c>
      <c r="B263">
        <v>112377.185</v>
      </c>
      <c r="C263">
        <v>47.826712030000003</v>
      </c>
      <c r="D263" s="2">
        <v>6.5</v>
      </c>
      <c r="E263" s="2">
        <v>21.3</v>
      </c>
      <c r="F263" s="2">
        <v>17</v>
      </c>
      <c r="G263" s="2">
        <v>0</v>
      </c>
      <c r="H263" s="2" t="str">
        <f>VLOOKUP(A263,Holidays!$A$2:$B$2107,2,1)</f>
        <v>N</v>
      </c>
      <c r="I263" s="2" t="str">
        <f>VLOOKUP(A263,Holidays!$A$2:$C$2107,3,1)</f>
        <v>N</v>
      </c>
    </row>
    <row r="264" spans="1:9" x14ac:dyDescent="0.45">
      <c r="A264" s="1">
        <v>42267</v>
      </c>
      <c r="B264">
        <v>103708.925</v>
      </c>
      <c r="C264">
        <v>32.857727840000003</v>
      </c>
      <c r="D264" s="2">
        <v>8.5</v>
      </c>
      <c r="E264" s="2">
        <v>22.9</v>
      </c>
      <c r="F264" s="2">
        <v>17.3</v>
      </c>
      <c r="G264" s="2">
        <v>0</v>
      </c>
      <c r="H264" s="2" t="str">
        <f>VLOOKUP(A264,Holidays!$A$2:$B$2107,2,1)</f>
        <v>N</v>
      </c>
      <c r="I264" s="2" t="str">
        <f>VLOOKUP(A264,Holidays!$A$2:$C$2107,3,1)</f>
        <v>N</v>
      </c>
    </row>
    <row r="265" spans="1:9" x14ac:dyDescent="0.45">
      <c r="A265" s="1">
        <v>42268</v>
      </c>
      <c r="B265">
        <v>120096.71</v>
      </c>
      <c r="C265">
        <v>44.955977410000003</v>
      </c>
      <c r="D265" s="2">
        <v>14</v>
      </c>
      <c r="E265" s="2">
        <v>18.100000000000001</v>
      </c>
      <c r="F265" s="2">
        <v>6.7</v>
      </c>
      <c r="G265" s="2">
        <v>0</v>
      </c>
      <c r="H265" s="2" t="str">
        <f>VLOOKUP(A265,Holidays!$A$2:$B$2107,2,1)</f>
        <v>N</v>
      </c>
      <c r="I265" s="2" t="str">
        <f>VLOOKUP(A265,Holidays!$A$2:$C$2107,3,1)</f>
        <v>N</v>
      </c>
    </row>
    <row r="266" spans="1:9" x14ac:dyDescent="0.45">
      <c r="A266" s="1">
        <v>42269</v>
      </c>
      <c r="B266">
        <v>127755.095</v>
      </c>
      <c r="C266">
        <v>99.476166710000001</v>
      </c>
      <c r="D266" s="2">
        <v>7.6</v>
      </c>
      <c r="E266" s="2">
        <v>12.7</v>
      </c>
      <c r="F266" s="2">
        <v>17.399999999999999</v>
      </c>
      <c r="G266" s="2">
        <v>4.4000000000000004</v>
      </c>
      <c r="H266" s="2" t="str">
        <f>VLOOKUP(A266,Holidays!$A$2:$B$2107,2,1)</f>
        <v>N</v>
      </c>
      <c r="I266" s="2" t="str">
        <f>VLOOKUP(A266,Holidays!$A$2:$C$2107,3,1)</f>
        <v>N</v>
      </c>
    </row>
    <row r="267" spans="1:9" x14ac:dyDescent="0.45">
      <c r="A267" s="1">
        <v>42270</v>
      </c>
      <c r="B267">
        <v>131866.73000000001</v>
      </c>
      <c r="C267">
        <v>49.768610670000001</v>
      </c>
      <c r="D267" s="2">
        <v>8.5</v>
      </c>
      <c r="E267" s="2">
        <v>12.6</v>
      </c>
      <c r="F267" s="2">
        <v>20.3</v>
      </c>
      <c r="G267" s="2">
        <v>0</v>
      </c>
      <c r="H267" s="2" t="str">
        <f>VLOOKUP(A267,Holidays!$A$2:$B$2107,2,1)</f>
        <v>N</v>
      </c>
      <c r="I267" s="2" t="str">
        <f>VLOOKUP(A267,Holidays!$A$2:$C$2107,3,1)</f>
        <v>N</v>
      </c>
    </row>
    <row r="268" spans="1:9" x14ac:dyDescent="0.45">
      <c r="A268" s="1">
        <v>42271</v>
      </c>
      <c r="B268">
        <v>130937.625</v>
      </c>
      <c r="C268">
        <v>54.980526810000001</v>
      </c>
      <c r="D268" s="2">
        <v>5.0999999999999996</v>
      </c>
      <c r="E268" s="2">
        <v>14.3</v>
      </c>
      <c r="F268" s="2">
        <v>18.2</v>
      </c>
      <c r="G268" s="2">
        <v>0</v>
      </c>
      <c r="H268" s="2" t="str">
        <f>VLOOKUP(A268,Holidays!$A$2:$B$2107,2,1)</f>
        <v>N</v>
      </c>
      <c r="I268" s="2" t="str">
        <f>VLOOKUP(A268,Holidays!$A$2:$C$2107,3,1)</f>
        <v>N</v>
      </c>
    </row>
    <row r="269" spans="1:9" x14ac:dyDescent="0.45">
      <c r="A269" s="1">
        <v>42272</v>
      </c>
      <c r="B269">
        <v>124278.93</v>
      </c>
      <c r="C269">
        <v>51.081001790000002</v>
      </c>
      <c r="D269" s="2">
        <v>5.8</v>
      </c>
      <c r="E269" s="2">
        <v>19.100000000000001</v>
      </c>
      <c r="F269" s="2">
        <v>20.2</v>
      </c>
      <c r="G269" s="2">
        <v>0</v>
      </c>
      <c r="H269" s="2" t="str">
        <f>VLOOKUP(A269,Holidays!$A$2:$B$2107,2,1)</f>
        <v>N</v>
      </c>
      <c r="I269" s="2" t="str">
        <f>VLOOKUP(A269,Holidays!$A$2:$C$2107,3,1)</f>
        <v>N</v>
      </c>
    </row>
    <row r="270" spans="1:9" x14ac:dyDescent="0.45">
      <c r="A270" s="1">
        <v>42273</v>
      </c>
      <c r="B270">
        <v>111064.49</v>
      </c>
      <c r="C270">
        <v>48.78936994</v>
      </c>
      <c r="D270" s="2">
        <v>6.6</v>
      </c>
      <c r="E270" s="2">
        <v>17.899999999999999</v>
      </c>
      <c r="F270" s="2">
        <v>20.100000000000001</v>
      </c>
      <c r="G270" s="2">
        <v>0</v>
      </c>
      <c r="H270" s="2" t="str">
        <f>VLOOKUP(A270,Holidays!$A$2:$B$2107,2,1)</f>
        <v>N</v>
      </c>
      <c r="I270" s="2" t="str">
        <f>VLOOKUP(A270,Holidays!$A$2:$C$2107,3,1)</f>
        <v>N</v>
      </c>
    </row>
    <row r="271" spans="1:9" x14ac:dyDescent="0.45">
      <c r="A271" s="1">
        <v>42274</v>
      </c>
      <c r="B271">
        <v>106431.815</v>
      </c>
      <c r="C271">
        <v>43.931613710000001</v>
      </c>
      <c r="D271" s="2">
        <v>9.8000000000000007</v>
      </c>
      <c r="E271" s="2">
        <v>20.2</v>
      </c>
      <c r="F271" s="2">
        <v>19.600000000000001</v>
      </c>
      <c r="G271" s="2">
        <v>0</v>
      </c>
      <c r="H271" s="2" t="str">
        <f>VLOOKUP(A271,Holidays!$A$2:$B$2107,2,1)</f>
        <v>N</v>
      </c>
      <c r="I271" s="2" t="str">
        <f>VLOOKUP(A271,Holidays!$A$2:$C$2107,3,1)</f>
        <v>N</v>
      </c>
    </row>
    <row r="272" spans="1:9" x14ac:dyDescent="0.45">
      <c r="A272" s="1">
        <v>42275</v>
      </c>
      <c r="B272">
        <v>121796.715</v>
      </c>
      <c r="C272">
        <v>42.026015379999997</v>
      </c>
      <c r="D272" s="2">
        <v>8.3000000000000007</v>
      </c>
      <c r="E272" s="2">
        <v>21.4</v>
      </c>
      <c r="F272" s="2">
        <v>13.6</v>
      </c>
      <c r="G272" s="2">
        <v>0</v>
      </c>
      <c r="H272" s="2" t="str">
        <f>VLOOKUP(A272,Holidays!$A$2:$B$2107,2,1)</f>
        <v>N</v>
      </c>
      <c r="I272" s="2" t="str">
        <f>VLOOKUP(A272,Holidays!$A$2:$C$2107,3,1)</f>
        <v>N</v>
      </c>
    </row>
    <row r="273" spans="1:9" x14ac:dyDescent="0.45">
      <c r="A273" s="1">
        <v>42276</v>
      </c>
      <c r="B273">
        <v>126691.8</v>
      </c>
      <c r="C273">
        <v>37.640101250000001</v>
      </c>
      <c r="D273" s="2">
        <v>9</v>
      </c>
      <c r="E273" s="2">
        <v>16.899999999999999</v>
      </c>
      <c r="F273" s="2">
        <v>13.5</v>
      </c>
      <c r="G273" s="2">
        <v>0</v>
      </c>
      <c r="H273" s="2" t="str">
        <f>VLOOKUP(A273,Holidays!$A$2:$B$2107,2,1)</f>
        <v>N</v>
      </c>
      <c r="I273" s="2" t="str">
        <f>VLOOKUP(A273,Holidays!$A$2:$C$2107,3,1)</f>
        <v>N</v>
      </c>
    </row>
    <row r="274" spans="1:9" x14ac:dyDescent="0.45">
      <c r="A274" s="1">
        <v>42277</v>
      </c>
      <c r="B274">
        <v>129641.245</v>
      </c>
      <c r="C274">
        <v>41.98096898</v>
      </c>
      <c r="D274" s="2">
        <v>11.5</v>
      </c>
      <c r="E274" s="2">
        <v>15.9</v>
      </c>
      <c r="F274" s="2">
        <v>16.8</v>
      </c>
      <c r="G274" s="2">
        <v>0</v>
      </c>
      <c r="H274" s="2" t="str">
        <f>VLOOKUP(A274,Holidays!$A$2:$B$2107,2,1)</f>
        <v>N</v>
      </c>
      <c r="I274" s="2" t="str">
        <f>VLOOKUP(A274,Holidays!$A$2:$C$2107,3,1)</f>
        <v>N</v>
      </c>
    </row>
    <row r="275" spans="1:9" x14ac:dyDescent="0.45">
      <c r="A275" s="1">
        <v>42278</v>
      </c>
      <c r="B275">
        <v>124356.41499999999</v>
      </c>
      <c r="C275">
        <v>34.809762990000003</v>
      </c>
      <c r="D275" s="2">
        <v>6</v>
      </c>
      <c r="E275" s="2">
        <v>21.6</v>
      </c>
      <c r="F275" s="2">
        <v>21.7</v>
      </c>
      <c r="G275" s="2">
        <v>0</v>
      </c>
      <c r="H275" s="2" t="str">
        <f>VLOOKUP(A275,Holidays!$A$2:$B$2107,2,1)</f>
        <v>N</v>
      </c>
      <c r="I275" s="2" t="str">
        <f>VLOOKUP(A275,Holidays!$A$2:$C$2107,3,1)</f>
        <v>N</v>
      </c>
    </row>
    <row r="276" spans="1:9" x14ac:dyDescent="0.45">
      <c r="A276" s="1">
        <v>42279</v>
      </c>
      <c r="B276">
        <v>107544.145</v>
      </c>
      <c r="C276">
        <v>38.306983930000001</v>
      </c>
      <c r="D276" s="2">
        <v>9.9</v>
      </c>
      <c r="E276" s="2">
        <v>28.6</v>
      </c>
      <c r="F276" s="2">
        <v>21.7</v>
      </c>
      <c r="G276" s="2">
        <v>0</v>
      </c>
      <c r="H276" s="2" t="str">
        <f>VLOOKUP(A276,Holidays!$A$2:$B$2107,2,1)</f>
        <v>N</v>
      </c>
      <c r="I276" s="2" t="str">
        <f>VLOOKUP(A276,Holidays!$A$2:$C$2107,3,1)</f>
        <v>Y</v>
      </c>
    </row>
    <row r="277" spans="1:9" x14ac:dyDescent="0.45">
      <c r="A277" s="1">
        <v>42280</v>
      </c>
      <c r="B277">
        <v>100598.55</v>
      </c>
      <c r="C277">
        <v>30.78069241</v>
      </c>
      <c r="D277" s="2">
        <v>16.3</v>
      </c>
      <c r="E277" s="2">
        <v>31.3</v>
      </c>
      <c r="F277" s="2">
        <v>22.2</v>
      </c>
      <c r="G277" s="2">
        <v>0</v>
      </c>
      <c r="H277" s="2" t="str">
        <f>VLOOKUP(A277,Holidays!$A$2:$B$2107,2,1)</f>
        <v>N</v>
      </c>
      <c r="I277" s="2" t="str">
        <f>VLOOKUP(A277,Holidays!$A$2:$C$2107,3,1)</f>
        <v>N</v>
      </c>
    </row>
    <row r="278" spans="1:9" x14ac:dyDescent="0.45">
      <c r="A278" s="1">
        <v>42281</v>
      </c>
      <c r="B278">
        <v>103828.88</v>
      </c>
      <c r="C278">
        <v>36.56069849</v>
      </c>
      <c r="D278" s="2">
        <v>13.9</v>
      </c>
      <c r="E278" s="2">
        <v>24.9</v>
      </c>
      <c r="F278" s="2">
        <v>22.2</v>
      </c>
      <c r="G278" s="2">
        <v>0</v>
      </c>
      <c r="H278" s="2" t="str">
        <f>VLOOKUP(A278,Holidays!$A$2:$B$2107,2,1)</f>
        <v>N</v>
      </c>
      <c r="I278" s="2" t="str">
        <f>VLOOKUP(A278,Holidays!$A$2:$C$2107,3,1)</f>
        <v>N</v>
      </c>
    </row>
    <row r="279" spans="1:9" x14ac:dyDescent="0.45">
      <c r="A279" s="1">
        <v>42282</v>
      </c>
      <c r="B279">
        <v>125194.87</v>
      </c>
      <c r="C279">
        <v>38.972005189999997</v>
      </c>
      <c r="D279" s="2">
        <v>12.7</v>
      </c>
      <c r="E279" s="2">
        <v>34.4</v>
      </c>
      <c r="F279" s="2">
        <v>22</v>
      </c>
      <c r="G279" s="2">
        <v>0</v>
      </c>
      <c r="H279" s="2" t="str">
        <f>VLOOKUP(A279,Holidays!$A$2:$B$2107,2,1)</f>
        <v>N</v>
      </c>
      <c r="I279" s="2" t="str">
        <f>VLOOKUP(A279,Holidays!$A$2:$C$2107,3,1)</f>
        <v>N</v>
      </c>
    </row>
    <row r="280" spans="1:9" x14ac:dyDescent="0.45">
      <c r="A280" s="1">
        <v>42283</v>
      </c>
      <c r="B280">
        <v>127225.245</v>
      </c>
      <c r="C280">
        <v>36.244451439999999</v>
      </c>
      <c r="D280" s="2">
        <v>15.5</v>
      </c>
      <c r="E280" s="2">
        <v>35.799999999999997</v>
      </c>
      <c r="F280" s="2">
        <v>18.899999999999999</v>
      </c>
      <c r="G280" s="2">
        <v>0</v>
      </c>
      <c r="H280" s="2" t="str">
        <f>VLOOKUP(A280,Holidays!$A$2:$B$2107,2,1)</f>
        <v>Y</v>
      </c>
      <c r="I280" s="2" t="str">
        <f>VLOOKUP(A280,Holidays!$A$2:$C$2107,3,1)</f>
        <v>N</v>
      </c>
    </row>
    <row r="281" spans="1:9" x14ac:dyDescent="0.45">
      <c r="A281" s="1">
        <v>42284</v>
      </c>
      <c r="B281">
        <v>117282.765</v>
      </c>
      <c r="C281">
        <v>31.596406630000001</v>
      </c>
      <c r="D281" s="2">
        <v>11.8</v>
      </c>
      <c r="E281" s="2">
        <v>16.2</v>
      </c>
      <c r="F281" s="2">
        <v>23.6</v>
      </c>
      <c r="G281" s="2">
        <v>0</v>
      </c>
      <c r="H281" s="2" t="str">
        <f>VLOOKUP(A281,Holidays!$A$2:$B$2107,2,1)</f>
        <v>Y</v>
      </c>
      <c r="I281" s="2" t="str">
        <f>VLOOKUP(A281,Holidays!$A$2:$C$2107,3,1)</f>
        <v>N</v>
      </c>
    </row>
    <row r="282" spans="1:9" x14ac:dyDescent="0.45">
      <c r="A282" s="1">
        <v>42285</v>
      </c>
      <c r="B282">
        <v>122121.325</v>
      </c>
      <c r="C282">
        <v>36.140982370000003</v>
      </c>
      <c r="D282" s="2">
        <v>7.6</v>
      </c>
      <c r="E282" s="2">
        <v>18.600000000000001</v>
      </c>
      <c r="F282" s="2">
        <v>23.3</v>
      </c>
      <c r="G282" s="2">
        <v>0</v>
      </c>
      <c r="H282" s="2" t="str">
        <f>VLOOKUP(A282,Holidays!$A$2:$B$2107,2,1)</f>
        <v>Y</v>
      </c>
      <c r="I282" s="2" t="str">
        <f>VLOOKUP(A282,Holidays!$A$2:$C$2107,3,1)</f>
        <v>N</v>
      </c>
    </row>
    <row r="283" spans="1:9" x14ac:dyDescent="0.45">
      <c r="A283" s="1">
        <v>42286</v>
      </c>
      <c r="B283">
        <v>126989.905</v>
      </c>
      <c r="C283">
        <v>41.415074920000002</v>
      </c>
      <c r="D283" s="2">
        <v>10.9</v>
      </c>
      <c r="E283" s="2">
        <v>29.9</v>
      </c>
      <c r="F283" s="2">
        <v>22</v>
      </c>
      <c r="G283" s="2">
        <v>0</v>
      </c>
      <c r="H283" s="2" t="str">
        <f>VLOOKUP(A283,Holidays!$A$2:$B$2107,2,1)</f>
        <v>Y</v>
      </c>
      <c r="I283" s="2" t="str">
        <f>VLOOKUP(A283,Holidays!$A$2:$C$2107,3,1)</f>
        <v>N</v>
      </c>
    </row>
    <row r="284" spans="1:9" x14ac:dyDescent="0.45">
      <c r="A284" s="1">
        <v>42287</v>
      </c>
      <c r="B284">
        <v>112604.825</v>
      </c>
      <c r="C284">
        <v>34.803176860000001</v>
      </c>
      <c r="D284" s="2">
        <v>17.5</v>
      </c>
      <c r="E284" s="2">
        <v>29.2</v>
      </c>
      <c r="F284" s="2">
        <v>11.9</v>
      </c>
      <c r="G284" s="2">
        <v>0</v>
      </c>
      <c r="H284" s="2" t="str">
        <f>VLOOKUP(A284,Holidays!$A$2:$B$2107,2,1)</f>
        <v>Y</v>
      </c>
      <c r="I284" s="2" t="str">
        <f>VLOOKUP(A284,Holidays!$A$2:$C$2107,3,1)</f>
        <v>N</v>
      </c>
    </row>
    <row r="285" spans="1:9" x14ac:dyDescent="0.45">
      <c r="A285" s="1">
        <v>42288</v>
      </c>
      <c r="B285">
        <v>105376.33500000001</v>
      </c>
      <c r="C285">
        <v>29.90281083</v>
      </c>
      <c r="D285" s="2">
        <v>16.899999999999999</v>
      </c>
      <c r="E285" s="2">
        <v>19.2</v>
      </c>
      <c r="F285" s="2">
        <v>19.600000000000001</v>
      </c>
      <c r="G285" s="2">
        <v>0.4</v>
      </c>
      <c r="H285" s="2" t="str">
        <f>VLOOKUP(A285,Holidays!$A$2:$B$2107,2,1)</f>
        <v>Y</v>
      </c>
      <c r="I285" s="2" t="str">
        <f>VLOOKUP(A285,Holidays!$A$2:$C$2107,3,1)</f>
        <v>N</v>
      </c>
    </row>
    <row r="286" spans="1:9" x14ac:dyDescent="0.45">
      <c r="A286" s="1">
        <v>42289</v>
      </c>
      <c r="B286">
        <v>120916.215</v>
      </c>
      <c r="C286">
        <v>36.353623810000002</v>
      </c>
      <c r="D286" s="2">
        <v>11.3</v>
      </c>
      <c r="E286" s="2">
        <v>16.100000000000001</v>
      </c>
      <c r="F286" s="2">
        <v>13.4</v>
      </c>
      <c r="G286" s="2">
        <v>0.6</v>
      </c>
      <c r="H286" s="2" t="str">
        <f>VLOOKUP(A286,Holidays!$A$2:$B$2107,2,1)</f>
        <v>Y</v>
      </c>
      <c r="I286" s="2" t="str">
        <f>VLOOKUP(A286,Holidays!$A$2:$C$2107,3,1)</f>
        <v>N</v>
      </c>
    </row>
    <row r="287" spans="1:9" x14ac:dyDescent="0.45">
      <c r="A287" s="1">
        <v>42290</v>
      </c>
      <c r="B287">
        <v>122830.38</v>
      </c>
      <c r="C287">
        <v>41.49816809</v>
      </c>
      <c r="D287" s="2">
        <v>7.9</v>
      </c>
      <c r="E287" s="2">
        <v>17.600000000000001</v>
      </c>
      <c r="F287" s="2">
        <v>24.3</v>
      </c>
      <c r="G287" s="2">
        <v>0.4</v>
      </c>
      <c r="H287" s="2" t="str">
        <f>VLOOKUP(A287,Holidays!$A$2:$B$2107,2,1)</f>
        <v>Y</v>
      </c>
      <c r="I287" s="2" t="str">
        <f>VLOOKUP(A287,Holidays!$A$2:$C$2107,3,1)</f>
        <v>N</v>
      </c>
    </row>
    <row r="288" spans="1:9" x14ac:dyDescent="0.45">
      <c r="A288" s="1">
        <v>42291</v>
      </c>
      <c r="B288">
        <v>126919.19500000001</v>
      </c>
      <c r="C288">
        <v>45.563440200000002</v>
      </c>
      <c r="D288" s="2">
        <v>11.2</v>
      </c>
      <c r="E288" s="2">
        <v>28.6</v>
      </c>
      <c r="F288" s="2">
        <v>24.4</v>
      </c>
      <c r="G288" s="2">
        <v>0</v>
      </c>
      <c r="H288" s="2" t="str">
        <f>VLOOKUP(A288,Holidays!$A$2:$B$2107,2,1)</f>
        <v>Y</v>
      </c>
      <c r="I288" s="2" t="str">
        <f>VLOOKUP(A288,Holidays!$A$2:$C$2107,3,1)</f>
        <v>N</v>
      </c>
    </row>
    <row r="289" spans="1:9" x14ac:dyDescent="0.45">
      <c r="A289" s="1">
        <v>42292</v>
      </c>
      <c r="B289">
        <v>130260.37</v>
      </c>
      <c r="C289">
        <v>39.066948680000003</v>
      </c>
      <c r="D289" s="2">
        <v>14.4</v>
      </c>
      <c r="E289" s="2">
        <v>34</v>
      </c>
      <c r="F289" s="2">
        <v>22.2</v>
      </c>
      <c r="G289" s="2">
        <v>0</v>
      </c>
      <c r="H289" s="2" t="str">
        <f>VLOOKUP(A289,Holidays!$A$2:$B$2107,2,1)</f>
        <v>Y</v>
      </c>
      <c r="I289" s="2" t="str">
        <f>VLOOKUP(A289,Holidays!$A$2:$C$2107,3,1)</f>
        <v>N</v>
      </c>
    </row>
    <row r="290" spans="1:9" x14ac:dyDescent="0.45">
      <c r="A290" s="1">
        <v>42293</v>
      </c>
      <c r="B290">
        <v>123985.97</v>
      </c>
      <c r="C290">
        <v>43.80436083</v>
      </c>
      <c r="D290" s="2">
        <v>17</v>
      </c>
      <c r="E290" s="2">
        <v>23.8</v>
      </c>
      <c r="F290" s="2">
        <v>8.4</v>
      </c>
      <c r="G290" s="2">
        <v>0</v>
      </c>
      <c r="H290" s="2" t="str">
        <f>VLOOKUP(A290,Holidays!$A$2:$B$2107,2,1)</f>
        <v>Y</v>
      </c>
      <c r="I290" s="2" t="str">
        <f>VLOOKUP(A290,Holidays!$A$2:$C$2107,3,1)</f>
        <v>N</v>
      </c>
    </row>
    <row r="291" spans="1:9" x14ac:dyDescent="0.45">
      <c r="A291" s="1">
        <v>42294</v>
      </c>
      <c r="B291">
        <v>104916.345</v>
      </c>
      <c r="C291">
        <v>29.673610060000001</v>
      </c>
      <c r="D291" s="2">
        <v>11.5</v>
      </c>
      <c r="E291" s="2">
        <v>20.5</v>
      </c>
      <c r="F291" s="2">
        <v>20.399999999999999</v>
      </c>
      <c r="G291" s="2">
        <v>0</v>
      </c>
      <c r="H291" s="2" t="str">
        <f>VLOOKUP(A291,Holidays!$A$2:$B$2107,2,1)</f>
        <v>Y</v>
      </c>
      <c r="I291" s="2" t="str">
        <f>VLOOKUP(A291,Holidays!$A$2:$C$2107,3,1)</f>
        <v>N</v>
      </c>
    </row>
    <row r="292" spans="1:9" x14ac:dyDescent="0.45">
      <c r="A292" s="1">
        <v>42295</v>
      </c>
      <c r="B292">
        <v>100812.04</v>
      </c>
      <c r="C292">
        <v>29.120867570000001</v>
      </c>
      <c r="D292" s="2">
        <v>12.6</v>
      </c>
      <c r="E292" s="2">
        <v>17.7</v>
      </c>
      <c r="F292" s="2">
        <v>24.2</v>
      </c>
      <c r="G292" s="2">
        <v>0</v>
      </c>
      <c r="H292" s="2" t="str">
        <f>VLOOKUP(A292,Holidays!$A$2:$B$2107,2,1)</f>
        <v>Y</v>
      </c>
      <c r="I292" s="2" t="str">
        <f>VLOOKUP(A292,Holidays!$A$2:$C$2107,3,1)</f>
        <v>N</v>
      </c>
    </row>
    <row r="293" spans="1:9" x14ac:dyDescent="0.45">
      <c r="A293" s="1">
        <v>42296</v>
      </c>
      <c r="B293">
        <v>120795</v>
      </c>
      <c r="C293">
        <v>43.510676320000002</v>
      </c>
      <c r="D293" s="2">
        <v>8.3000000000000007</v>
      </c>
      <c r="E293" s="2">
        <v>26.7</v>
      </c>
      <c r="F293" s="2">
        <v>25.8</v>
      </c>
      <c r="G293" s="2">
        <v>0</v>
      </c>
      <c r="H293" s="2" t="str">
        <f>VLOOKUP(A293,Holidays!$A$2:$B$2107,2,1)</f>
        <v>Y</v>
      </c>
      <c r="I293" s="2" t="str">
        <f>VLOOKUP(A293,Holidays!$A$2:$C$2107,3,1)</f>
        <v>N</v>
      </c>
    </row>
    <row r="294" spans="1:9" x14ac:dyDescent="0.45">
      <c r="A294" s="1">
        <v>42297</v>
      </c>
      <c r="B294">
        <v>126655.49</v>
      </c>
      <c r="C294">
        <v>43.332869199999998</v>
      </c>
      <c r="D294" s="2">
        <v>12.9</v>
      </c>
      <c r="E294" s="2">
        <v>31.8</v>
      </c>
      <c r="F294" s="2">
        <v>14.4</v>
      </c>
      <c r="G294" s="2">
        <v>0</v>
      </c>
      <c r="H294" s="2" t="str">
        <f>VLOOKUP(A294,Holidays!$A$2:$B$2107,2,1)</f>
        <v>Y</v>
      </c>
      <c r="I294" s="2" t="str">
        <f>VLOOKUP(A294,Holidays!$A$2:$C$2107,3,1)</f>
        <v>N</v>
      </c>
    </row>
    <row r="295" spans="1:9" x14ac:dyDescent="0.45">
      <c r="A295" s="1">
        <v>42298</v>
      </c>
      <c r="B295">
        <v>122368.88499999999</v>
      </c>
      <c r="C295">
        <v>39.681894030000002</v>
      </c>
      <c r="D295" s="2">
        <v>17.600000000000001</v>
      </c>
      <c r="E295" s="2">
        <v>18.3</v>
      </c>
      <c r="F295" s="2">
        <v>7.3</v>
      </c>
      <c r="G295" s="2">
        <v>2.4</v>
      </c>
      <c r="H295" s="2" t="str">
        <f>VLOOKUP(A295,Holidays!$A$2:$B$2107,2,1)</f>
        <v>Y</v>
      </c>
      <c r="I295" s="2" t="str">
        <f>VLOOKUP(A295,Holidays!$A$2:$C$2107,3,1)</f>
        <v>N</v>
      </c>
    </row>
    <row r="296" spans="1:9" x14ac:dyDescent="0.45">
      <c r="A296" s="1">
        <v>42299</v>
      </c>
      <c r="B296">
        <v>121471.64</v>
      </c>
      <c r="C296">
        <v>44.033046460000001</v>
      </c>
      <c r="D296" s="2">
        <v>11.4</v>
      </c>
      <c r="E296" s="2">
        <v>16.7</v>
      </c>
      <c r="F296" s="2">
        <v>8.5</v>
      </c>
      <c r="G296" s="2">
        <v>7</v>
      </c>
      <c r="H296" s="2" t="str">
        <f>VLOOKUP(A296,Holidays!$A$2:$B$2107,2,1)</f>
        <v>Y</v>
      </c>
      <c r="I296" s="2" t="str">
        <f>VLOOKUP(A296,Holidays!$A$2:$C$2107,3,1)</f>
        <v>N</v>
      </c>
    </row>
    <row r="297" spans="1:9" x14ac:dyDescent="0.45">
      <c r="A297" s="1">
        <v>42300</v>
      </c>
      <c r="B297">
        <v>120420.7</v>
      </c>
      <c r="C297">
        <v>48.169896799999997</v>
      </c>
      <c r="D297" s="2">
        <v>11.8</v>
      </c>
      <c r="E297" s="2">
        <v>16.399999999999999</v>
      </c>
      <c r="F297" s="2">
        <v>21</v>
      </c>
      <c r="G297" s="2">
        <v>0</v>
      </c>
      <c r="H297" s="2" t="str">
        <f>VLOOKUP(A297,Holidays!$A$2:$B$2107,2,1)</f>
        <v>Y</v>
      </c>
      <c r="I297" s="2" t="str">
        <f>VLOOKUP(A297,Holidays!$A$2:$C$2107,3,1)</f>
        <v>N</v>
      </c>
    </row>
    <row r="298" spans="1:9" x14ac:dyDescent="0.45">
      <c r="A298" s="1">
        <v>42301</v>
      </c>
      <c r="B298">
        <v>106813.03</v>
      </c>
      <c r="C298">
        <v>32.192051970000001</v>
      </c>
      <c r="D298" s="2">
        <v>9.1999999999999993</v>
      </c>
      <c r="E298" s="2">
        <v>19.5</v>
      </c>
      <c r="F298" s="2">
        <v>25.1</v>
      </c>
      <c r="G298" s="2">
        <v>0</v>
      </c>
      <c r="H298" s="2" t="str">
        <f>VLOOKUP(A298,Holidays!$A$2:$B$2107,2,1)</f>
        <v>Y</v>
      </c>
      <c r="I298" s="2" t="str">
        <f>VLOOKUP(A298,Holidays!$A$2:$C$2107,3,1)</f>
        <v>N</v>
      </c>
    </row>
    <row r="299" spans="1:9" x14ac:dyDescent="0.45">
      <c r="A299" s="1">
        <v>42302</v>
      </c>
      <c r="B299">
        <v>102279.745</v>
      </c>
      <c r="C299">
        <v>17.4659695</v>
      </c>
      <c r="D299" s="2">
        <v>10.199999999999999</v>
      </c>
      <c r="E299" s="2">
        <v>31.3</v>
      </c>
      <c r="F299" s="2">
        <v>20.100000000000001</v>
      </c>
      <c r="G299" s="2">
        <v>0</v>
      </c>
      <c r="H299" s="2" t="str">
        <f>VLOOKUP(A299,Holidays!$A$2:$B$2107,2,1)</f>
        <v>Y</v>
      </c>
      <c r="I299" s="2" t="str">
        <f>VLOOKUP(A299,Holidays!$A$2:$C$2107,3,1)</f>
        <v>N</v>
      </c>
    </row>
    <row r="300" spans="1:9" x14ac:dyDescent="0.45">
      <c r="A300" s="1">
        <v>42303</v>
      </c>
      <c r="B300">
        <v>115297.34</v>
      </c>
      <c r="C300">
        <v>29.398516279999999</v>
      </c>
      <c r="D300" s="2">
        <v>14</v>
      </c>
      <c r="E300" s="2">
        <v>15.9</v>
      </c>
      <c r="F300" s="2">
        <v>14.5</v>
      </c>
      <c r="G300" s="2">
        <v>0.2</v>
      </c>
      <c r="H300" s="2" t="str">
        <f>VLOOKUP(A300,Holidays!$A$2:$B$2107,2,1)</f>
        <v>Y</v>
      </c>
      <c r="I300" s="2" t="str">
        <f>VLOOKUP(A300,Holidays!$A$2:$C$2107,3,1)</f>
        <v>N</v>
      </c>
    </row>
    <row r="301" spans="1:9" x14ac:dyDescent="0.45">
      <c r="A301" s="1">
        <v>42304</v>
      </c>
      <c r="B301">
        <v>116619.57</v>
      </c>
      <c r="C301">
        <v>31.32939962</v>
      </c>
      <c r="D301" s="2">
        <v>10.4</v>
      </c>
      <c r="E301" s="2">
        <v>23.3</v>
      </c>
      <c r="F301" s="2">
        <v>28.1</v>
      </c>
      <c r="G301" s="2">
        <v>0.2</v>
      </c>
      <c r="H301" s="2" t="str">
        <f>VLOOKUP(A301,Holidays!$A$2:$B$2107,2,1)</f>
        <v>Y</v>
      </c>
      <c r="I301" s="2" t="str">
        <f>VLOOKUP(A301,Holidays!$A$2:$C$2107,3,1)</f>
        <v>N</v>
      </c>
    </row>
    <row r="302" spans="1:9" x14ac:dyDescent="0.45">
      <c r="A302" s="1">
        <v>42305</v>
      </c>
      <c r="B302">
        <v>122887.41</v>
      </c>
      <c r="C302">
        <v>39.51380992</v>
      </c>
      <c r="D302" s="2">
        <v>10.1</v>
      </c>
      <c r="E302" s="2">
        <v>26.8</v>
      </c>
      <c r="F302" s="2">
        <v>27.6</v>
      </c>
      <c r="G302" s="2">
        <v>0</v>
      </c>
      <c r="H302" s="2" t="str">
        <f>VLOOKUP(A302,Holidays!$A$2:$B$2107,2,1)</f>
        <v>Y</v>
      </c>
      <c r="I302" s="2" t="str">
        <f>VLOOKUP(A302,Holidays!$A$2:$C$2107,3,1)</f>
        <v>N</v>
      </c>
    </row>
    <row r="303" spans="1:9" x14ac:dyDescent="0.45">
      <c r="A303" s="1">
        <v>42306</v>
      </c>
      <c r="B303">
        <v>124222.935</v>
      </c>
      <c r="C303">
        <v>62.320128279999999</v>
      </c>
      <c r="D303" s="2">
        <v>13.7</v>
      </c>
      <c r="E303" s="2">
        <v>26.1</v>
      </c>
      <c r="F303" s="2">
        <v>26.8</v>
      </c>
      <c r="G303" s="2">
        <v>0</v>
      </c>
      <c r="H303" s="2" t="str">
        <f>VLOOKUP(A303,Holidays!$A$2:$B$2107,2,1)</f>
        <v>Y</v>
      </c>
      <c r="I303" s="2" t="str">
        <f>VLOOKUP(A303,Holidays!$A$2:$C$2107,3,1)</f>
        <v>N</v>
      </c>
    </row>
    <row r="304" spans="1:9" x14ac:dyDescent="0.45">
      <c r="A304" s="1">
        <v>42307</v>
      </c>
      <c r="B304">
        <v>121256.97</v>
      </c>
      <c r="C304">
        <v>35.875550349999997</v>
      </c>
      <c r="D304" s="2">
        <v>12.6</v>
      </c>
      <c r="E304" s="2">
        <v>27.4</v>
      </c>
      <c r="F304" s="2">
        <v>22.6</v>
      </c>
      <c r="G304" s="2">
        <v>0</v>
      </c>
      <c r="H304" s="2" t="str">
        <f>VLOOKUP(A304,Holidays!$A$2:$B$2107,2,1)</f>
        <v>Y</v>
      </c>
      <c r="I304" s="2" t="str">
        <f>VLOOKUP(A304,Holidays!$A$2:$C$2107,3,1)</f>
        <v>N</v>
      </c>
    </row>
    <row r="305" spans="1:9" x14ac:dyDescent="0.45">
      <c r="A305" s="1">
        <v>42308</v>
      </c>
      <c r="B305">
        <v>106353.44</v>
      </c>
      <c r="C305">
        <v>18.374790109999999</v>
      </c>
      <c r="D305" s="2">
        <v>15.7</v>
      </c>
      <c r="E305" s="2">
        <v>25.9</v>
      </c>
      <c r="F305" s="2">
        <v>13.5</v>
      </c>
      <c r="G305" s="2">
        <v>1</v>
      </c>
      <c r="H305" s="2" t="str">
        <f>VLOOKUP(A305,Holidays!$A$2:$B$2107,2,1)</f>
        <v>Y</v>
      </c>
      <c r="I305" s="2" t="str">
        <f>VLOOKUP(A305,Holidays!$A$2:$C$2107,3,1)</f>
        <v>N</v>
      </c>
    </row>
    <row r="306" spans="1:9" x14ac:dyDescent="0.45">
      <c r="A306" s="1">
        <v>42309</v>
      </c>
      <c r="B306">
        <v>103629.645</v>
      </c>
      <c r="C306">
        <v>14.68483973</v>
      </c>
      <c r="D306" s="2">
        <v>16.399999999999999</v>
      </c>
      <c r="E306" s="2">
        <v>26</v>
      </c>
      <c r="F306" s="2">
        <v>10</v>
      </c>
      <c r="G306" s="2">
        <v>4.4000000000000004</v>
      </c>
      <c r="H306" s="2" t="str">
        <f>VLOOKUP(A306,Holidays!$A$2:$B$2107,2,1)</f>
        <v>Y</v>
      </c>
      <c r="I306" s="2" t="str">
        <f>VLOOKUP(A306,Holidays!$A$2:$C$2107,3,1)</f>
        <v>N</v>
      </c>
    </row>
    <row r="307" spans="1:9" x14ac:dyDescent="0.45">
      <c r="A307" s="1">
        <v>42310</v>
      </c>
      <c r="B307">
        <v>113791.75</v>
      </c>
      <c r="C307">
        <v>25.017848959999998</v>
      </c>
      <c r="D307" s="2">
        <v>14.5</v>
      </c>
      <c r="E307" s="2">
        <v>16</v>
      </c>
      <c r="F307" s="2">
        <v>8.1999999999999993</v>
      </c>
      <c r="G307" s="2">
        <v>0</v>
      </c>
      <c r="H307" s="2" t="str">
        <f>VLOOKUP(A307,Holidays!$A$2:$B$2107,2,1)</f>
        <v>Y</v>
      </c>
      <c r="I307" s="2" t="str">
        <f>VLOOKUP(A307,Holidays!$A$2:$C$2107,3,1)</f>
        <v>N</v>
      </c>
    </row>
    <row r="308" spans="1:9" x14ac:dyDescent="0.45">
      <c r="A308" s="1">
        <v>42311</v>
      </c>
      <c r="B308">
        <v>101793.035</v>
      </c>
      <c r="C308">
        <v>14.15794771</v>
      </c>
      <c r="D308" s="2">
        <v>8</v>
      </c>
      <c r="E308" s="2">
        <v>17.899999999999999</v>
      </c>
      <c r="F308" s="2">
        <v>25.4</v>
      </c>
      <c r="G308" s="2">
        <v>0.2</v>
      </c>
      <c r="H308" s="2" t="str">
        <f>VLOOKUP(A308,Holidays!$A$2:$B$2107,2,1)</f>
        <v>Y</v>
      </c>
      <c r="I308" s="2" t="str">
        <f>VLOOKUP(A308,Holidays!$A$2:$C$2107,3,1)</f>
        <v>Y</v>
      </c>
    </row>
    <row r="309" spans="1:9" x14ac:dyDescent="0.45">
      <c r="A309" s="1">
        <v>42312</v>
      </c>
      <c r="B309">
        <v>120177.94500000001</v>
      </c>
      <c r="C309">
        <v>29.237633089999999</v>
      </c>
      <c r="D309" s="2">
        <v>10.9</v>
      </c>
      <c r="E309" s="2">
        <v>27.2</v>
      </c>
      <c r="F309" s="2">
        <v>19.600000000000001</v>
      </c>
      <c r="G309" s="2">
        <v>0</v>
      </c>
      <c r="H309" s="2" t="str">
        <f>VLOOKUP(A309,Holidays!$A$2:$B$2107,2,1)</f>
        <v>Y</v>
      </c>
      <c r="I309" s="2" t="str">
        <f>VLOOKUP(A309,Holidays!$A$2:$C$2107,3,1)</f>
        <v>N</v>
      </c>
    </row>
    <row r="310" spans="1:9" x14ac:dyDescent="0.45">
      <c r="A310" s="1">
        <v>42313</v>
      </c>
      <c r="B310">
        <v>125985.465</v>
      </c>
      <c r="C310">
        <v>34.576790760000002</v>
      </c>
      <c r="D310" s="2">
        <v>16.2</v>
      </c>
      <c r="E310" s="2">
        <v>24.7</v>
      </c>
      <c r="F310" s="2">
        <v>16.399999999999999</v>
      </c>
      <c r="G310" s="2">
        <v>12.2</v>
      </c>
      <c r="H310" s="2" t="str">
        <f>VLOOKUP(A310,Holidays!$A$2:$B$2107,2,1)</f>
        <v>Y</v>
      </c>
      <c r="I310" s="2" t="str">
        <f>VLOOKUP(A310,Holidays!$A$2:$C$2107,3,1)</f>
        <v>N</v>
      </c>
    </row>
    <row r="311" spans="1:9" x14ac:dyDescent="0.45">
      <c r="A311" s="1">
        <v>42314</v>
      </c>
      <c r="B311">
        <v>120505.58500000001</v>
      </c>
      <c r="C311">
        <v>30.642866869999999</v>
      </c>
      <c r="D311" s="2">
        <v>16.600000000000001</v>
      </c>
      <c r="E311" s="2">
        <v>18.7</v>
      </c>
      <c r="F311" s="2">
        <v>3.7</v>
      </c>
      <c r="G311" s="2">
        <v>17.600000000000001</v>
      </c>
      <c r="H311" s="2" t="str">
        <f>VLOOKUP(A311,Holidays!$A$2:$B$2107,2,1)</f>
        <v>Y</v>
      </c>
      <c r="I311" s="2" t="str">
        <f>VLOOKUP(A311,Holidays!$A$2:$C$2107,3,1)</f>
        <v>N</v>
      </c>
    </row>
    <row r="312" spans="1:9" x14ac:dyDescent="0.45">
      <c r="A312" s="1">
        <v>42315</v>
      </c>
      <c r="B312">
        <v>104269.79</v>
      </c>
      <c r="C312">
        <v>18.27265483</v>
      </c>
      <c r="D312" s="2">
        <v>11.9</v>
      </c>
      <c r="E312" s="2">
        <v>16.8</v>
      </c>
      <c r="F312" s="2">
        <v>25.2</v>
      </c>
      <c r="G312" s="2">
        <v>1.2</v>
      </c>
      <c r="H312" s="2" t="str">
        <f>VLOOKUP(A312,Holidays!$A$2:$B$2107,2,1)</f>
        <v>Y</v>
      </c>
      <c r="I312" s="2" t="str">
        <f>VLOOKUP(A312,Holidays!$A$2:$C$2107,3,1)</f>
        <v>N</v>
      </c>
    </row>
    <row r="313" spans="1:9" x14ac:dyDescent="0.45">
      <c r="A313" s="1">
        <v>42316</v>
      </c>
      <c r="B313">
        <v>103793.08500000001</v>
      </c>
      <c r="C313">
        <v>21.095360379999999</v>
      </c>
      <c r="D313" s="2">
        <v>8.5</v>
      </c>
      <c r="E313" s="2">
        <v>24.8</v>
      </c>
      <c r="F313" s="2">
        <v>25.1</v>
      </c>
      <c r="G313" s="2">
        <v>0</v>
      </c>
      <c r="H313" s="2" t="str">
        <f>VLOOKUP(A313,Holidays!$A$2:$B$2107,2,1)</f>
        <v>Y</v>
      </c>
      <c r="I313" s="2" t="str">
        <f>VLOOKUP(A313,Holidays!$A$2:$C$2107,3,1)</f>
        <v>N</v>
      </c>
    </row>
    <row r="314" spans="1:9" x14ac:dyDescent="0.45">
      <c r="A314" s="1">
        <v>42317</v>
      </c>
      <c r="B314">
        <v>127234.72</v>
      </c>
      <c r="C314">
        <v>35.054800229999998</v>
      </c>
      <c r="D314" s="2">
        <v>13.6</v>
      </c>
      <c r="E314" s="2">
        <v>33.1</v>
      </c>
      <c r="F314" s="2">
        <v>26.4</v>
      </c>
      <c r="G314" s="2">
        <v>0</v>
      </c>
      <c r="H314" s="2" t="str">
        <f>VLOOKUP(A314,Holidays!$A$2:$B$2107,2,1)</f>
        <v>Y</v>
      </c>
      <c r="I314" s="2" t="str">
        <f>VLOOKUP(A314,Holidays!$A$2:$C$2107,3,1)</f>
        <v>N</v>
      </c>
    </row>
    <row r="315" spans="1:9" x14ac:dyDescent="0.45">
      <c r="A315" s="1">
        <v>42318</v>
      </c>
      <c r="B315">
        <v>121617.28</v>
      </c>
      <c r="C315">
        <v>32.067076479999997</v>
      </c>
      <c r="D315" s="2">
        <v>15.2</v>
      </c>
      <c r="E315" s="2">
        <v>16.399999999999999</v>
      </c>
      <c r="F315" s="2">
        <v>5.3</v>
      </c>
      <c r="G315" s="2">
        <v>0</v>
      </c>
      <c r="H315" s="2" t="str">
        <f>VLOOKUP(A315,Holidays!$A$2:$B$2107,2,1)</f>
        <v>Y</v>
      </c>
      <c r="I315" s="2" t="str">
        <f>VLOOKUP(A315,Holidays!$A$2:$C$2107,3,1)</f>
        <v>N</v>
      </c>
    </row>
    <row r="316" spans="1:9" x14ac:dyDescent="0.45">
      <c r="A316" s="1">
        <v>42319</v>
      </c>
      <c r="B316">
        <v>121566.645</v>
      </c>
      <c r="C316">
        <v>35.224103849999999</v>
      </c>
      <c r="D316" s="2">
        <v>11.5</v>
      </c>
      <c r="E316" s="2">
        <v>20.100000000000001</v>
      </c>
      <c r="F316" s="2">
        <v>16</v>
      </c>
      <c r="G316" s="2">
        <v>2</v>
      </c>
      <c r="H316" s="2" t="str">
        <f>VLOOKUP(A316,Holidays!$A$2:$B$2107,2,1)</f>
        <v>Y</v>
      </c>
      <c r="I316" s="2" t="str">
        <f>VLOOKUP(A316,Holidays!$A$2:$C$2107,3,1)</f>
        <v>N</v>
      </c>
    </row>
    <row r="317" spans="1:9" x14ac:dyDescent="0.45">
      <c r="A317" s="1">
        <v>42320</v>
      </c>
      <c r="B317">
        <v>123775.16</v>
      </c>
      <c r="C317">
        <v>38.485258739999999</v>
      </c>
      <c r="D317" s="2">
        <v>13.7</v>
      </c>
      <c r="E317" s="2">
        <v>21.2</v>
      </c>
      <c r="F317" s="2">
        <v>19.2</v>
      </c>
      <c r="G317" s="2">
        <v>0</v>
      </c>
      <c r="H317" s="2" t="str">
        <f>VLOOKUP(A317,Holidays!$A$2:$B$2107,2,1)</f>
        <v>Y</v>
      </c>
      <c r="I317" s="2" t="str">
        <f>VLOOKUP(A317,Holidays!$A$2:$C$2107,3,1)</f>
        <v>N</v>
      </c>
    </row>
    <row r="318" spans="1:9" x14ac:dyDescent="0.45">
      <c r="A318" s="1">
        <v>42321</v>
      </c>
      <c r="B318">
        <v>117078.58500000001</v>
      </c>
      <c r="C318">
        <v>32.823096649999997</v>
      </c>
      <c r="D318" s="2">
        <v>13.5</v>
      </c>
      <c r="E318" s="2">
        <v>18.2</v>
      </c>
      <c r="F318" s="2">
        <v>26.1</v>
      </c>
      <c r="G318" s="2">
        <v>0.4</v>
      </c>
      <c r="H318" s="2" t="str">
        <f>VLOOKUP(A318,Holidays!$A$2:$B$2107,2,1)</f>
        <v>Y</v>
      </c>
      <c r="I318" s="2" t="str">
        <f>VLOOKUP(A318,Holidays!$A$2:$C$2107,3,1)</f>
        <v>N</v>
      </c>
    </row>
    <row r="319" spans="1:9" x14ac:dyDescent="0.45">
      <c r="A319" s="1">
        <v>42322</v>
      </c>
      <c r="B319">
        <v>103646.63499999999</v>
      </c>
      <c r="C319">
        <v>33.560938610000001</v>
      </c>
      <c r="D319" s="2">
        <v>12.1</v>
      </c>
      <c r="E319" s="2">
        <v>18.3</v>
      </c>
      <c r="F319" s="2">
        <v>27.5</v>
      </c>
      <c r="G319" s="2">
        <v>0.2</v>
      </c>
      <c r="H319" s="2" t="str">
        <f>VLOOKUP(A319,Holidays!$A$2:$B$2107,2,1)</f>
        <v>Y</v>
      </c>
      <c r="I319" s="2" t="str">
        <f>VLOOKUP(A319,Holidays!$A$2:$C$2107,3,1)</f>
        <v>N</v>
      </c>
    </row>
    <row r="320" spans="1:9" x14ac:dyDescent="0.45">
      <c r="A320" s="1">
        <v>42323</v>
      </c>
      <c r="B320">
        <v>99761.81</v>
      </c>
      <c r="C320">
        <v>28.298071060000002</v>
      </c>
      <c r="D320" s="2">
        <v>13</v>
      </c>
      <c r="E320" s="2">
        <v>18.5</v>
      </c>
      <c r="F320" s="2">
        <v>27.6</v>
      </c>
      <c r="G320" s="2">
        <v>0.2</v>
      </c>
      <c r="H320" s="2" t="str">
        <f>VLOOKUP(A320,Holidays!$A$2:$B$2107,2,1)</f>
        <v>Y</v>
      </c>
      <c r="I320" s="2" t="str">
        <f>VLOOKUP(A320,Holidays!$A$2:$C$2107,3,1)</f>
        <v>N</v>
      </c>
    </row>
    <row r="321" spans="1:9" x14ac:dyDescent="0.45">
      <c r="A321" s="1">
        <v>42324</v>
      </c>
      <c r="B321">
        <v>124557.22500000001</v>
      </c>
      <c r="C321">
        <v>39.127373740000003</v>
      </c>
      <c r="D321" s="2">
        <v>11.4</v>
      </c>
      <c r="E321" s="2">
        <v>26.3</v>
      </c>
      <c r="F321" s="2">
        <v>29.4</v>
      </c>
      <c r="G321" s="2">
        <v>0.2</v>
      </c>
      <c r="H321" s="2" t="str">
        <f>VLOOKUP(A321,Holidays!$A$2:$B$2107,2,1)</f>
        <v>Y</v>
      </c>
      <c r="I321" s="2" t="str">
        <f>VLOOKUP(A321,Holidays!$A$2:$C$2107,3,1)</f>
        <v>N</v>
      </c>
    </row>
    <row r="322" spans="1:9" x14ac:dyDescent="0.45">
      <c r="A322" s="1">
        <v>42325</v>
      </c>
      <c r="B322">
        <v>131442.20000000001</v>
      </c>
      <c r="C322">
        <v>36.024547249999998</v>
      </c>
      <c r="D322" s="2">
        <v>15.7</v>
      </c>
      <c r="E322" s="2">
        <v>33.299999999999997</v>
      </c>
      <c r="F322" s="2">
        <v>24</v>
      </c>
      <c r="G322" s="2">
        <v>0</v>
      </c>
      <c r="H322" s="2" t="str">
        <f>VLOOKUP(A322,Holidays!$A$2:$B$2107,2,1)</f>
        <v>Y</v>
      </c>
      <c r="I322" s="2" t="str">
        <f>VLOOKUP(A322,Holidays!$A$2:$C$2107,3,1)</f>
        <v>N</v>
      </c>
    </row>
    <row r="323" spans="1:9" x14ac:dyDescent="0.45">
      <c r="A323" s="1">
        <v>42326</v>
      </c>
      <c r="B323">
        <v>132353.755</v>
      </c>
      <c r="C323">
        <v>60.680238269999997</v>
      </c>
      <c r="D323" s="2">
        <v>14.7</v>
      </c>
      <c r="E323" s="2">
        <v>29.5</v>
      </c>
      <c r="F323" s="2">
        <v>29.2</v>
      </c>
      <c r="G323" s="2">
        <v>0</v>
      </c>
      <c r="H323" s="2" t="str">
        <f>VLOOKUP(A323,Holidays!$A$2:$B$2107,2,1)</f>
        <v>Y</v>
      </c>
      <c r="I323" s="2" t="str">
        <f>VLOOKUP(A323,Holidays!$A$2:$C$2107,3,1)</f>
        <v>N</v>
      </c>
    </row>
    <row r="324" spans="1:9" x14ac:dyDescent="0.45">
      <c r="A324" s="1">
        <v>42327</v>
      </c>
      <c r="B324">
        <v>138118.70499999999</v>
      </c>
      <c r="C324">
        <v>78.290968070000005</v>
      </c>
      <c r="D324" s="2">
        <v>15.6</v>
      </c>
      <c r="E324" s="2">
        <v>31.5</v>
      </c>
      <c r="F324" s="2">
        <v>20.6</v>
      </c>
      <c r="G324" s="2">
        <v>0</v>
      </c>
      <c r="H324" s="2" t="str">
        <f>VLOOKUP(A324,Holidays!$A$2:$B$2107,2,1)</f>
        <v>Y</v>
      </c>
      <c r="I324" s="2" t="str">
        <f>VLOOKUP(A324,Holidays!$A$2:$C$2107,3,1)</f>
        <v>N</v>
      </c>
    </row>
    <row r="325" spans="1:9" x14ac:dyDescent="0.45">
      <c r="A325" s="1">
        <v>42328</v>
      </c>
      <c r="B325">
        <v>123412.685</v>
      </c>
      <c r="C325">
        <v>38.026497679999999</v>
      </c>
      <c r="D325" s="2">
        <v>15.4</v>
      </c>
      <c r="E325" s="2">
        <v>19.100000000000001</v>
      </c>
      <c r="F325" s="2">
        <v>6.4</v>
      </c>
      <c r="G325" s="2">
        <v>0.4</v>
      </c>
      <c r="H325" s="2" t="str">
        <f>VLOOKUP(A325,Holidays!$A$2:$B$2107,2,1)</f>
        <v>Y</v>
      </c>
      <c r="I325" s="2" t="str">
        <f>VLOOKUP(A325,Holidays!$A$2:$C$2107,3,1)</f>
        <v>N</v>
      </c>
    </row>
    <row r="326" spans="1:9" x14ac:dyDescent="0.45">
      <c r="A326" s="1">
        <v>42329</v>
      </c>
      <c r="B326">
        <v>102647.905</v>
      </c>
      <c r="C326">
        <v>27.413622409999999</v>
      </c>
      <c r="D326" s="2">
        <v>12.2</v>
      </c>
      <c r="E326" s="2">
        <v>17.5</v>
      </c>
      <c r="F326" s="2">
        <v>20.9</v>
      </c>
      <c r="G326" s="2">
        <v>3.6</v>
      </c>
      <c r="H326" s="2" t="str">
        <f>VLOOKUP(A326,Holidays!$A$2:$B$2107,2,1)</f>
        <v>Y</v>
      </c>
      <c r="I326" s="2" t="str">
        <f>VLOOKUP(A326,Holidays!$A$2:$C$2107,3,1)</f>
        <v>N</v>
      </c>
    </row>
    <row r="327" spans="1:9" x14ac:dyDescent="0.45">
      <c r="A327" s="1">
        <v>42330</v>
      </c>
      <c r="B327">
        <v>98621.62</v>
      </c>
      <c r="C327">
        <v>32.34590077</v>
      </c>
      <c r="D327" s="2">
        <v>13.5</v>
      </c>
      <c r="E327" s="2">
        <v>20</v>
      </c>
      <c r="F327" s="2">
        <v>27.3</v>
      </c>
      <c r="G327" s="2">
        <v>0</v>
      </c>
      <c r="H327" s="2" t="str">
        <f>VLOOKUP(A327,Holidays!$A$2:$B$2107,2,1)</f>
        <v>Y</v>
      </c>
      <c r="I327" s="2" t="str">
        <f>VLOOKUP(A327,Holidays!$A$2:$C$2107,3,1)</f>
        <v>N</v>
      </c>
    </row>
    <row r="328" spans="1:9" x14ac:dyDescent="0.45">
      <c r="A328" s="1">
        <v>42331</v>
      </c>
      <c r="B328">
        <v>114406.825</v>
      </c>
      <c r="C328">
        <v>41.368772450000002</v>
      </c>
      <c r="D328" s="2">
        <v>13.8</v>
      </c>
      <c r="E328" s="2">
        <v>20.7</v>
      </c>
      <c r="F328" s="2">
        <v>27.3</v>
      </c>
      <c r="G328" s="2">
        <v>0</v>
      </c>
      <c r="H328" s="2" t="str">
        <f>VLOOKUP(A328,Holidays!$A$2:$B$2107,2,1)</f>
        <v>Y</v>
      </c>
      <c r="I328" s="2" t="str">
        <f>VLOOKUP(A328,Holidays!$A$2:$C$2107,3,1)</f>
        <v>N</v>
      </c>
    </row>
    <row r="329" spans="1:9" x14ac:dyDescent="0.45">
      <c r="A329" s="1">
        <v>42332</v>
      </c>
      <c r="B329">
        <v>118894.30499999999</v>
      </c>
      <c r="C329">
        <v>48.52152976</v>
      </c>
      <c r="D329" s="2">
        <v>13.6</v>
      </c>
      <c r="E329" s="2">
        <v>24.5</v>
      </c>
      <c r="F329" s="2">
        <v>30</v>
      </c>
      <c r="G329" s="2">
        <v>0</v>
      </c>
      <c r="H329" s="2" t="str">
        <f>VLOOKUP(A329,Holidays!$A$2:$B$2107,2,1)</f>
        <v>Y</v>
      </c>
      <c r="I329" s="2" t="str">
        <f>VLOOKUP(A329,Holidays!$A$2:$C$2107,3,1)</f>
        <v>N</v>
      </c>
    </row>
    <row r="330" spans="1:9" x14ac:dyDescent="0.45">
      <c r="A330" s="1">
        <v>42333</v>
      </c>
      <c r="B330">
        <v>124728.875</v>
      </c>
      <c r="C330">
        <v>60.69203392</v>
      </c>
      <c r="D330" s="2">
        <v>13.5</v>
      </c>
      <c r="E330" s="2">
        <v>33.299999999999997</v>
      </c>
      <c r="F330" s="2">
        <v>9.3000000000000007</v>
      </c>
      <c r="G330" s="2">
        <v>0</v>
      </c>
      <c r="H330" s="2" t="str">
        <f>VLOOKUP(A330,Holidays!$A$2:$B$2107,2,1)</f>
        <v>Y</v>
      </c>
      <c r="I330" s="2" t="str">
        <f>VLOOKUP(A330,Holidays!$A$2:$C$2107,3,1)</f>
        <v>N</v>
      </c>
    </row>
    <row r="331" spans="1:9" x14ac:dyDescent="0.45">
      <c r="A331" s="1">
        <v>42334</v>
      </c>
      <c r="B331">
        <v>112907.145</v>
      </c>
      <c r="C331">
        <v>30.494174109999999</v>
      </c>
      <c r="D331" s="2">
        <v>10.8</v>
      </c>
      <c r="E331" s="2">
        <v>17.399999999999999</v>
      </c>
      <c r="F331" s="2">
        <v>23.3</v>
      </c>
      <c r="G331" s="2">
        <v>0</v>
      </c>
      <c r="H331" s="2" t="str">
        <f>VLOOKUP(A331,Holidays!$A$2:$B$2107,2,1)</f>
        <v>Y</v>
      </c>
      <c r="I331" s="2" t="str">
        <f>VLOOKUP(A331,Holidays!$A$2:$C$2107,3,1)</f>
        <v>N</v>
      </c>
    </row>
    <row r="332" spans="1:9" x14ac:dyDescent="0.45">
      <c r="A332" s="1">
        <v>42335</v>
      </c>
      <c r="B332">
        <v>117492.82</v>
      </c>
      <c r="C332">
        <v>40.366545459999998</v>
      </c>
      <c r="D332" s="2">
        <v>9</v>
      </c>
      <c r="E332" s="2">
        <v>18.2</v>
      </c>
      <c r="F332" s="2">
        <v>16.8</v>
      </c>
      <c r="G332" s="2">
        <v>0.4</v>
      </c>
      <c r="H332" s="2" t="str">
        <f>VLOOKUP(A332,Holidays!$A$2:$B$2107,2,1)</f>
        <v>Y</v>
      </c>
      <c r="I332" s="2" t="str">
        <f>VLOOKUP(A332,Holidays!$A$2:$C$2107,3,1)</f>
        <v>N</v>
      </c>
    </row>
    <row r="333" spans="1:9" x14ac:dyDescent="0.45">
      <c r="A333" s="1">
        <v>42336</v>
      </c>
      <c r="B333">
        <v>105011.19500000001</v>
      </c>
      <c r="C333">
        <v>43.326660840000002</v>
      </c>
      <c r="D333" s="2">
        <v>12</v>
      </c>
      <c r="E333" s="2">
        <v>20.100000000000001</v>
      </c>
      <c r="F333" s="2">
        <v>27.1</v>
      </c>
      <c r="G333" s="2">
        <v>0</v>
      </c>
      <c r="H333" s="2" t="str">
        <f>VLOOKUP(A333,Holidays!$A$2:$B$2107,2,1)</f>
        <v>Y</v>
      </c>
      <c r="I333" s="2" t="str">
        <f>VLOOKUP(A333,Holidays!$A$2:$C$2107,3,1)</f>
        <v>N</v>
      </c>
    </row>
    <row r="334" spans="1:9" x14ac:dyDescent="0.45">
      <c r="A334" s="1">
        <v>42337</v>
      </c>
      <c r="B334">
        <v>102162.53</v>
      </c>
      <c r="C334">
        <v>39.12126473</v>
      </c>
      <c r="D334" s="2">
        <v>12.6</v>
      </c>
      <c r="E334" s="2">
        <v>20.3</v>
      </c>
      <c r="F334" s="2">
        <v>23.4</v>
      </c>
      <c r="G334" s="2">
        <v>0</v>
      </c>
      <c r="H334" s="2" t="str">
        <f>VLOOKUP(A334,Holidays!$A$2:$B$2107,2,1)</f>
        <v>Y</v>
      </c>
      <c r="I334" s="2" t="str">
        <f>VLOOKUP(A334,Holidays!$A$2:$C$2107,3,1)</f>
        <v>N</v>
      </c>
    </row>
    <row r="335" spans="1:9" x14ac:dyDescent="0.45">
      <c r="A335" s="1">
        <v>42338</v>
      </c>
      <c r="B335">
        <v>122452.41499999999</v>
      </c>
      <c r="C335">
        <v>45.57726057</v>
      </c>
      <c r="D335" s="2">
        <v>10</v>
      </c>
      <c r="E335" s="2">
        <v>32.200000000000003</v>
      </c>
      <c r="F335" s="2">
        <v>26.6</v>
      </c>
      <c r="G335" s="2">
        <v>0</v>
      </c>
      <c r="H335" s="2" t="str">
        <f>VLOOKUP(A335,Holidays!$A$2:$B$2107,2,1)</f>
        <v>Y</v>
      </c>
      <c r="I335" s="2" t="str">
        <f>VLOOKUP(A335,Holidays!$A$2:$C$2107,3,1)</f>
        <v>N</v>
      </c>
    </row>
    <row r="336" spans="1:9" x14ac:dyDescent="0.45">
      <c r="A336" s="1">
        <v>42339</v>
      </c>
      <c r="B336">
        <v>117115.62</v>
      </c>
      <c r="C336">
        <v>37.920958990000003</v>
      </c>
      <c r="D336" s="2">
        <v>14.5</v>
      </c>
      <c r="E336" s="2">
        <v>24.6</v>
      </c>
      <c r="F336" s="2">
        <v>24.4</v>
      </c>
      <c r="G336" s="2">
        <v>1.8</v>
      </c>
      <c r="H336" s="2" t="str">
        <f>VLOOKUP(A336,Holidays!$A$2:$B$2107,2,1)</f>
        <v>Y</v>
      </c>
      <c r="I336" s="2" t="str">
        <f>VLOOKUP(A336,Holidays!$A$2:$C$2107,3,1)</f>
        <v>N</v>
      </c>
    </row>
    <row r="337" spans="1:9" x14ac:dyDescent="0.45">
      <c r="A337" s="1">
        <v>42340</v>
      </c>
      <c r="B337">
        <v>115230.125</v>
      </c>
      <c r="C337">
        <v>37.470820799999998</v>
      </c>
      <c r="D337" s="2">
        <v>9.1999999999999993</v>
      </c>
      <c r="E337" s="2">
        <v>17.5</v>
      </c>
      <c r="F337" s="2">
        <v>32.4</v>
      </c>
      <c r="G337" s="2">
        <v>0</v>
      </c>
      <c r="H337" s="2" t="str">
        <f>VLOOKUP(A337,Holidays!$A$2:$B$2107,2,1)</f>
        <v>Y</v>
      </c>
      <c r="I337" s="2" t="str">
        <f>VLOOKUP(A337,Holidays!$A$2:$C$2107,3,1)</f>
        <v>N</v>
      </c>
    </row>
    <row r="338" spans="1:9" x14ac:dyDescent="0.45">
      <c r="A338" s="1">
        <v>42341</v>
      </c>
      <c r="B338">
        <v>121699.425</v>
      </c>
      <c r="C338">
        <v>43.34422421</v>
      </c>
      <c r="D338" s="2">
        <v>12.2</v>
      </c>
      <c r="E338" s="2">
        <v>21.3</v>
      </c>
      <c r="F338" s="2">
        <v>30.1</v>
      </c>
      <c r="G338" s="2">
        <v>0</v>
      </c>
      <c r="H338" s="2" t="str">
        <f>VLOOKUP(A338,Holidays!$A$2:$B$2107,2,1)</f>
        <v>Y</v>
      </c>
      <c r="I338" s="2" t="str">
        <f>VLOOKUP(A338,Holidays!$A$2:$C$2107,3,1)</f>
        <v>N</v>
      </c>
    </row>
    <row r="339" spans="1:9" x14ac:dyDescent="0.45">
      <c r="A339" s="1">
        <v>42342</v>
      </c>
      <c r="B339">
        <v>129148.52</v>
      </c>
      <c r="C339">
        <v>66.533894050000001</v>
      </c>
      <c r="D339" s="2">
        <v>11.3</v>
      </c>
      <c r="E339" s="2">
        <v>30.8</v>
      </c>
      <c r="F339" s="2">
        <v>32.200000000000003</v>
      </c>
      <c r="G339" s="2">
        <v>0</v>
      </c>
      <c r="H339" s="2" t="str">
        <f>VLOOKUP(A339,Holidays!$A$2:$B$2107,2,1)</f>
        <v>Y</v>
      </c>
      <c r="I339" s="2" t="str">
        <f>VLOOKUP(A339,Holidays!$A$2:$C$2107,3,1)</f>
        <v>N</v>
      </c>
    </row>
    <row r="340" spans="1:9" x14ac:dyDescent="0.45">
      <c r="A340" s="1">
        <v>42343</v>
      </c>
      <c r="B340">
        <v>115606.005</v>
      </c>
      <c r="C340">
        <v>36.906868619999997</v>
      </c>
      <c r="D340" s="2">
        <v>15.5</v>
      </c>
      <c r="E340" s="2">
        <v>25.3</v>
      </c>
      <c r="F340" s="2">
        <v>27.9</v>
      </c>
      <c r="G340" s="2">
        <v>0</v>
      </c>
      <c r="H340" s="2" t="str">
        <f>VLOOKUP(A340,Holidays!$A$2:$B$2107,2,1)</f>
        <v>Y</v>
      </c>
      <c r="I340" s="2" t="str">
        <f>VLOOKUP(A340,Holidays!$A$2:$C$2107,3,1)</f>
        <v>N</v>
      </c>
    </row>
    <row r="341" spans="1:9" x14ac:dyDescent="0.45">
      <c r="A341" s="1">
        <v>42344</v>
      </c>
      <c r="B341">
        <v>112025.29</v>
      </c>
      <c r="C341">
        <v>36.78833221</v>
      </c>
      <c r="D341" s="2">
        <v>15.3</v>
      </c>
      <c r="E341" s="2">
        <v>29.8</v>
      </c>
      <c r="F341" s="2">
        <v>13.5</v>
      </c>
      <c r="G341" s="2">
        <v>0</v>
      </c>
      <c r="H341" s="2" t="str">
        <f>VLOOKUP(A341,Holidays!$A$2:$B$2107,2,1)</f>
        <v>Y</v>
      </c>
      <c r="I341" s="2" t="str">
        <f>VLOOKUP(A341,Holidays!$A$2:$C$2107,3,1)</f>
        <v>N</v>
      </c>
    </row>
    <row r="342" spans="1:9" x14ac:dyDescent="0.45">
      <c r="A342" s="1">
        <v>42345</v>
      </c>
      <c r="B342">
        <v>129059.645</v>
      </c>
      <c r="C342">
        <v>53.369098719999997</v>
      </c>
      <c r="D342" s="2">
        <v>18.100000000000001</v>
      </c>
      <c r="E342" s="2">
        <v>27.3</v>
      </c>
      <c r="F342" s="2">
        <v>8.6999999999999993</v>
      </c>
      <c r="G342" s="2">
        <v>0</v>
      </c>
      <c r="H342" s="2" t="str">
        <f>VLOOKUP(A342,Holidays!$A$2:$B$2107,2,1)</f>
        <v>Y</v>
      </c>
      <c r="I342" s="2" t="str">
        <f>VLOOKUP(A342,Holidays!$A$2:$C$2107,3,1)</f>
        <v>N</v>
      </c>
    </row>
    <row r="343" spans="1:9" x14ac:dyDescent="0.45">
      <c r="A343" s="1">
        <v>42346</v>
      </c>
      <c r="B343">
        <v>136800.91</v>
      </c>
      <c r="C343">
        <v>57.534246680000003</v>
      </c>
      <c r="D343" s="2">
        <v>20.3</v>
      </c>
      <c r="E343" s="2">
        <v>35.4</v>
      </c>
      <c r="F343" s="2">
        <v>19.8</v>
      </c>
      <c r="G343" s="2">
        <v>0.8</v>
      </c>
      <c r="H343" s="2" t="str">
        <f>VLOOKUP(A343,Holidays!$A$2:$B$2107,2,1)</f>
        <v>Y</v>
      </c>
      <c r="I343" s="2" t="str">
        <f>VLOOKUP(A343,Holidays!$A$2:$C$2107,3,1)</f>
        <v>N</v>
      </c>
    </row>
    <row r="344" spans="1:9" x14ac:dyDescent="0.45">
      <c r="A344" s="1">
        <v>42347</v>
      </c>
      <c r="B344">
        <v>125965.02</v>
      </c>
      <c r="C344">
        <v>49.73700573</v>
      </c>
      <c r="D344" s="2">
        <v>15.4</v>
      </c>
      <c r="E344" s="2">
        <v>24.6</v>
      </c>
      <c r="F344" s="2">
        <v>27</v>
      </c>
      <c r="G344" s="2">
        <v>0</v>
      </c>
      <c r="H344" s="2" t="str">
        <f>VLOOKUP(A344,Holidays!$A$2:$B$2107,2,1)</f>
        <v>Y</v>
      </c>
      <c r="I344" s="2" t="str">
        <f>VLOOKUP(A344,Holidays!$A$2:$C$2107,3,1)</f>
        <v>N</v>
      </c>
    </row>
    <row r="345" spans="1:9" x14ac:dyDescent="0.45">
      <c r="A345" s="1">
        <v>42348</v>
      </c>
      <c r="B345">
        <v>125807.495</v>
      </c>
      <c r="C345">
        <v>50.806013669999999</v>
      </c>
      <c r="D345" s="2">
        <v>13.1</v>
      </c>
      <c r="E345" s="2">
        <v>26</v>
      </c>
      <c r="F345" s="2">
        <v>32</v>
      </c>
      <c r="G345" s="2">
        <v>0</v>
      </c>
      <c r="H345" s="2" t="str">
        <f>VLOOKUP(A345,Holidays!$A$2:$B$2107,2,1)</f>
        <v>Y</v>
      </c>
      <c r="I345" s="2" t="str">
        <f>VLOOKUP(A345,Holidays!$A$2:$C$2107,3,1)</f>
        <v>N</v>
      </c>
    </row>
    <row r="346" spans="1:9" x14ac:dyDescent="0.45">
      <c r="A346" s="1">
        <v>42349</v>
      </c>
      <c r="B346">
        <v>116597.81</v>
      </c>
      <c r="C346">
        <v>32.020129189999999</v>
      </c>
      <c r="D346" s="2">
        <v>14.2</v>
      </c>
      <c r="E346" s="2">
        <v>19.2</v>
      </c>
      <c r="F346" s="2">
        <v>13</v>
      </c>
      <c r="G346" s="2">
        <v>0</v>
      </c>
      <c r="H346" s="2" t="str">
        <f>VLOOKUP(A346,Holidays!$A$2:$B$2107,2,1)</f>
        <v>Y</v>
      </c>
      <c r="I346" s="2" t="str">
        <f>VLOOKUP(A346,Holidays!$A$2:$C$2107,3,1)</f>
        <v>N</v>
      </c>
    </row>
    <row r="347" spans="1:9" x14ac:dyDescent="0.45">
      <c r="A347" s="1">
        <v>42350</v>
      </c>
      <c r="B347">
        <v>106139.41</v>
      </c>
      <c r="C347">
        <v>34.142897920000003</v>
      </c>
      <c r="D347" s="2">
        <v>10.1</v>
      </c>
      <c r="E347" s="2">
        <v>18.3</v>
      </c>
      <c r="F347" s="2">
        <v>27.9</v>
      </c>
      <c r="G347" s="2">
        <v>2</v>
      </c>
      <c r="H347" s="2" t="str">
        <f>VLOOKUP(A347,Holidays!$A$2:$B$2107,2,1)</f>
        <v>Y</v>
      </c>
      <c r="I347" s="2" t="str">
        <f>VLOOKUP(A347,Holidays!$A$2:$C$2107,3,1)</f>
        <v>N</v>
      </c>
    </row>
    <row r="348" spans="1:9" x14ac:dyDescent="0.45">
      <c r="A348" s="1">
        <v>42351</v>
      </c>
      <c r="B348">
        <v>105218.515</v>
      </c>
      <c r="C348">
        <v>40.306829550000003</v>
      </c>
      <c r="D348" s="2">
        <v>10.3</v>
      </c>
      <c r="E348" s="2">
        <v>28.3</v>
      </c>
      <c r="F348" s="2">
        <v>28.6</v>
      </c>
      <c r="G348" s="2">
        <v>0</v>
      </c>
      <c r="H348" s="2" t="str">
        <f>VLOOKUP(A348,Holidays!$A$2:$B$2107,2,1)</f>
        <v>Y</v>
      </c>
      <c r="I348" s="2" t="str">
        <f>VLOOKUP(A348,Holidays!$A$2:$C$2107,3,1)</f>
        <v>N</v>
      </c>
    </row>
    <row r="349" spans="1:9" x14ac:dyDescent="0.45">
      <c r="A349" s="1">
        <v>42352</v>
      </c>
      <c r="B349">
        <v>125784.96000000001</v>
      </c>
      <c r="C349">
        <v>51.747829520000003</v>
      </c>
      <c r="D349" s="2">
        <v>11.9</v>
      </c>
      <c r="E349" s="2">
        <v>22.7</v>
      </c>
      <c r="F349" s="2">
        <v>31.6</v>
      </c>
      <c r="G349" s="2">
        <v>0</v>
      </c>
      <c r="H349" s="2" t="str">
        <f>VLOOKUP(A349,Holidays!$A$2:$B$2107,2,1)</f>
        <v>Y</v>
      </c>
      <c r="I349" s="2" t="str">
        <f>VLOOKUP(A349,Holidays!$A$2:$C$2107,3,1)</f>
        <v>N</v>
      </c>
    </row>
    <row r="350" spans="1:9" x14ac:dyDescent="0.45">
      <c r="A350" s="1">
        <v>42353</v>
      </c>
      <c r="B350">
        <v>129077.41</v>
      </c>
      <c r="C350">
        <v>51.660830169999997</v>
      </c>
      <c r="D350" s="2">
        <v>14.4</v>
      </c>
      <c r="E350" s="2">
        <v>24.6</v>
      </c>
      <c r="F350" s="2">
        <v>30.3</v>
      </c>
      <c r="G350" s="2">
        <v>0</v>
      </c>
      <c r="H350" s="2" t="str">
        <f>VLOOKUP(A350,Holidays!$A$2:$B$2107,2,1)</f>
        <v>Y</v>
      </c>
      <c r="I350" s="2" t="str">
        <f>VLOOKUP(A350,Holidays!$A$2:$C$2107,3,1)</f>
        <v>N</v>
      </c>
    </row>
    <row r="351" spans="1:9" x14ac:dyDescent="0.45">
      <c r="A351" s="1">
        <v>42354</v>
      </c>
      <c r="B351">
        <v>135930.07999999999</v>
      </c>
      <c r="C351">
        <v>78.645919989999996</v>
      </c>
      <c r="D351" s="2">
        <v>15.6</v>
      </c>
      <c r="E351" s="2">
        <v>27.5</v>
      </c>
      <c r="F351" s="2">
        <v>32.5</v>
      </c>
      <c r="G351" s="2">
        <v>0</v>
      </c>
      <c r="H351" s="2" t="str">
        <f>VLOOKUP(A351,Holidays!$A$2:$B$2107,2,1)</f>
        <v>Y</v>
      </c>
      <c r="I351" s="2" t="str">
        <f>VLOOKUP(A351,Holidays!$A$2:$C$2107,3,1)</f>
        <v>N</v>
      </c>
    </row>
    <row r="352" spans="1:9" x14ac:dyDescent="0.45">
      <c r="A352" s="1">
        <v>42355</v>
      </c>
      <c r="B352">
        <v>152366.29999999999</v>
      </c>
      <c r="C352">
        <v>188.0861252</v>
      </c>
      <c r="D352" s="2">
        <v>16.899999999999999</v>
      </c>
      <c r="E352" s="2">
        <v>37.200000000000003</v>
      </c>
      <c r="F352" s="2">
        <v>33.1</v>
      </c>
      <c r="G352" s="2">
        <v>0</v>
      </c>
      <c r="H352" s="2" t="str">
        <f>VLOOKUP(A352,Holidays!$A$2:$B$2107,2,1)</f>
        <v>Y</v>
      </c>
      <c r="I352" s="2" t="str">
        <f>VLOOKUP(A352,Holidays!$A$2:$C$2107,3,1)</f>
        <v>N</v>
      </c>
    </row>
    <row r="353" spans="1:9" x14ac:dyDescent="0.45">
      <c r="A353" s="1">
        <v>42356</v>
      </c>
      <c r="B353">
        <v>158052.89000000001</v>
      </c>
      <c r="C353">
        <v>81.192486250000002</v>
      </c>
      <c r="D353" s="2">
        <v>19.399999999999999</v>
      </c>
      <c r="E353" s="2">
        <v>35.4</v>
      </c>
      <c r="F353" s="2">
        <v>31.2</v>
      </c>
      <c r="G353" s="2">
        <v>0</v>
      </c>
      <c r="H353" s="2" t="str">
        <f>VLOOKUP(A353,Holidays!$A$2:$B$2107,2,1)</f>
        <v>N</v>
      </c>
      <c r="I353" s="2" t="str">
        <f>VLOOKUP(A353,Holidays!$A$2:$C$2107,3,1)</f>
        <v>N</v>
      </c>
    </row>
    <row r="354" spans="1:9" x14ac:dyDescent="0.45">
      <c r="A354" s="1">
        <v>42357</v>
      </c>
      <c r="B354">
        <v>154924.89000000001</v>
      </c>
      <c r="C354">
        <v>69.328820820000004</v>
      </c>
      <c r="D354" s="2">
        <v>19.2</v>
      </c>
      <c r="E354" s="2">
        <v>41.2</v>
      </c>
      <c r="F354" s="2">
        <v>20.5</v>
      </c>
      <c r="G354" s="2">
        <v>0</v>
      </c>
      <c r="H354" s="2" t="str">
        <f>VLOOKUP(A354,Holidays!$A$2:$B$2107,2,1)</f>
        <v>N</v>
      </c>
      <c r="I354" s="2" t="str">
        <f>VLOOKUP(A354,Holidays!$A$2:$C$2107,3,1)</f>
        <v>N</v>
      </c>
    </row>
    <row r="355" spans="1:9" x14ac:dyDescent="0.45">
      <c r="A355" s="1">
        <v>42358</v>
      </c>
      <c r="B355">
        <v>133421.03</v>
      </c>
      <c r="C355">
        <v>54.649804289999999</v>
      </c>
      <c r="D355" s="2">
        <v>25.9</v>
      </c>
      <c r="E355" s="2">
        <v>37.799999999999997</v>
      </c>
      <c r="F355" s="2">
        <v>10.4</v>
      </c>
      <c r="G355" s="2">
        <v>0</v>
      </c>
      <c r="H355" s="2" t="str">
        <f>VLOOKUP(A355,Holidays!$A$2:$B$2107,2,1)</f>
        <v>N</v>
      </c>
      <c r="I355" s="2" t="str">
        <f>VLOOKUP(A355,Holidays!$A$2:$C$2107,3,1)</f>
        <v>N</v>
      </c>
    </row>
    <row r="356" spans="1:9" x14ac:dyDescent="0.45">
      <c r="A356" s="1">
        <v>42359</v>
      </c>
      <c r="B356">
        <v>113802.21</v>
      </c>
      <c r="C356">
        <v>49.621251919999999</v>
      </c>
      <c r="D356" s="2">
        <v>15</v>
      </c>
      <c r="E356" s="2">
        <v>20.2</v>
      </c>
      <c r="F356" s="2">
        <v>25.4</v>
      </c>
      <c r="G356" s="2">
        <v>6</v>
      </c>
      <c r="H356" s="2" t="str">
        <f>VLOOKUP(A356,Holidays!$A$2:$B$2107,2,1)</f>
        <v>N</v>
      </c>
      <c r="I356" s="2" t="str">
        <f>VLOOKUP(A356,Holidays!$A$2:$C$2107,3,1)</f>
        <v>N</v>
      </c>
    </row>
    <row r="357" spans="1:9" x14ac:dyDescent="0.45">
      <c r="A357" s="1">
        <v>42360</v>
      </c>
      <c r="B357">
        <v>119477.515</v>
      </c>
      <c r="C357">
        <v>37.53130427</v>
      </c>
      <c r="D357" s="2">
        <v>12</v>
      </c>
      <c r="E357" s="2">
        <v>22.8</v>
      </c>
      <c r="F357" s="2">
        <v>32.9</v>
      </c>
      <c r="G357" s="2">
        <v>0</v>
      </c>
      <c r="H357" s="2" t="str">
        <f>VLOOKUP(A357,Holidays!$A$2:$B$2107,2,1)</f>
        <v>N</v>
      </c>
      <c r="I357" s="2" t="str">
        <f>VLOOKUP(A357,Holidays!$A$2:$C$2107,3,1)</f>
        <v>N</v>
      </c>
    </row>
    <row r="358" spans="1:9" x14ac:dyDescent="0.45">
      <c r="A358" s="1">
        <v>42361</v>
      </c>
      <c r="B358">
        <v>126553.11500000001</v>
      </c>
      <c r="C358">
        <v>39.138220830000002</v>
      </c>
      <c r="D358" s="2">
        <v>15.1</v>
      </c>
      <c r="E358" s="2">
        <v>26</v>
      </c>
      <c r="F358" s="2">
        <v>32.4</v>
      </c>
      <c r="G358" s="2">
        <v>0</v>
      </c>
      <c r="H358" s="2" t="str">
        <f>VLOOKUP(A358,Holidays!$A$2:$B$2107,2,1)</f>
        <v>N</v>
      </c>
      <c r="I358" s="2" t="str">
        <f>VLOOKUP(A358,Holidays!$A$2:$C$2107,3,1)</f>
        <v>N</v>
      </c>
    </row>
    <row r="359" spans="1:9" x14ac:dyDescent="0.45">
      <c r="A359" s="1">
        <v>42362</v>
      </c>
      <c r="B359">
        <v>134583.25</v>
      </c>
      <c r="C359">
        <v>50.81827517</v>
      </c>
      <c r="D359" s="2">
        <v>16.7</v>
      </c>
      <c r="E359" s="2">
        <v>34.6</v>
      </c>
      <c r="F359" s="2">
        <v>32.799999999999997</v>
      </c>
      <c r="G359" s="2">
        <v>0.4</v>
      </c>
      <c r="H359" s="2" t="str">
        <f>VLOOKUP(A359,Holidays!$A$2:$B$2107,2,1)</f>
        <v>N</v>
      </c>
      <c r="I359" s="2" t="str">
        <f>VLOOKUP(A359,Holidays!$A$2:$C$2107,3,1)</f>
        <v>N</v>
      </c>
    </row>
    <row r="360" spans="1:9" x14ac:dyDescent="0.45">
      <c r="A360" s="1">
        <v>42363</v>
      </c>
      <c r="B360">
        <v>119950.37</v>
      </c>
      <c r="C360">
        <v>22.115586239999999</v>
      </c>
      <c r="D360" s="2">
        <v>21.7</v>
      </c>
      <c r="E360" s="2">
        <v>34.1</v>
      </c>
      <c r="F360" s="2">
        <v>33.299999999999997</v>
      </c>
      <c r="G360" s="2">
        <v>0</v>
      </c>
      <c r="H360" s="2" t="str">
        <f>VLOOKUP(A360,Holidays!$A$2:$B$2107,2,1)</f>
        <v>N</v>
      </c>
      <c r="I360" s="2" t="str">
        <f>VLOOKUP(A360,Holidays!$A$2:$C$2107,3,1)</f>
        <v>Y</v>
      </c>
    </row>
    <row r="361" spans="1:9" x14ac:dyDescent="0.45">
      <c r="A361" s="1">
        <v>42364</v>
      </c>
      <c r="B361">
        <v>95093.294999999998</v>
      </c>
      <c r="C361">
        <v>14.96710809</v>
      </c>
      <c r="D361" s="2">
        <v>12.7</v>
      </c>
      <c r="E361" s="2">
        <v>20</v>
      </c>
      <c r="F361" s="2">
        <v>19.2</v>
      </c>
      <c r="G361" s="2">
        <v>30.6</v>
      </c>
      <c r="H361" s="2" t="str">
        <f>VLOOKUP(A361,Holidays!$A$2:$B$2107,2,1)</f>
        <v>N</v>
      </c>
      <c r="I361" s="2" t="str">
        <f>VLOOKUP(A361,Holidays!$A$2:$C$2107,3,1)</f>
        <v>Y</v>
      </c>
    </row>
    <row r="362" spans="1:9" x14ac:dyDescent="0.45">
      <c r="A362" s="1">
        <v>42365</v>
      </c>
      <c r="B362">
        <v>96394.94</v>
      </c>
      <c r="C362">
        <v>19.823183589999999</v>
      </c>
      <c r="D362" s="2">
        <v>11.9</v>
      </c>
      <c r="E362" s="2">
        <v>19.399999999999999</v>
      </c>
      <c r="F362" s="2">
        <v>27.6</v>
      </c>
      <c r="G362" s="2">
        <v>5.2</v>
      </c>
      <c r="H362" s="2" t="str">
        <f>VLOOKUP(A362,Holidays!$A$2:$B$2107,2,1)</f>
        <v>N</v>
      </c>
      <c r="I362" s="2" t="str">
        <f>VLOOKUP(A362,Holidays!$A$2:$C$2107,3,1)</f>
        <v>N</v>
      </c>
    </row>
    <row r="363" spans="1:9" x14ac:dyDescent="0.45">
      <c r="A363" s="1">
        <v>42366</v>
      </c>
      <c r="B363">
        <v>100048.44</v>
      </c>
      <c r="C363">
        <v>20.097539919999999</v>
      </c>
      <c r="D363" s="2">
        <v>12.8</v>
      </c>
      <c r="E363" s="2">
        <v>20.8</v>
      </c>
      <c r="F363" s="2">
        <v>33.200000000000003</v>
      </c>
      <c r="G363" s="2">
        <v>0</v>
      </c>
      <c r="H363" s="2" t="str">
        <f>VLOOKUP(A363,Holidays!$A$2:$B$2107,2,1)</f>
        <v>N</v>
      </c>
      <c r="I363" s="2" t="str">
        <f>VLOOKUP(A363,Holidays!$A$2:$C$2107,3,1)</f>
        <v>Y</v>
      </c>
    </row>
    <row r="364" spans="1:9" x14ac:dyDescent="0.45">
      <c r="A364" s="1">
        <v>42367</v>
      </c>
      <c r="B364">
        <v>111647.54</v>
      </c>
      <c r="C364">
        <v>27.33170157</v>
      </c>
      <c r="D364" s="2">
        <v>12.4</v>
      </c>
      <c r="E364" s="2">
        <v>23.9</v>
      </c>
      <c r="F364" s="2">
        <v>33</v>
      </c>
      <c r="G364" s="2">
        <v>0</v>
      </c>
      <c r="H364" s="2" t="str">
        <f>VLOOKUP(A364,Holidays!$A$2:$B$2107,2,1)</f>
        <v>N</v>
      </c>
      <c r="I364" s="2" t="str">
        <f>VLOOKUP(A364,Holidays!$A$2:$C$2107,3,1)</f>
        <v>N</v>
      </c>
    </row>
    <row r="365" spans="1:9" x14ac:dyDescent="0.45">
      <c r="A365" s="1">
        <v>42368</v>
      </c>
      <c r="B365">
        <v>128552.13499999999</v>
      </c>
      <c r="C365">
        <v>43.826874789999998</v>
      </c>
      <c r="D365" s="2">
        <v>13.9</v>
      </c>
      <c r="E365" s="2">
        <v>34.700000000000003</v>
      </c>
      <c r="F365" s="2">
        <v>32.799999999999997</v>
      </c>
      <c r="G365" s="2">
        <v>0</v>
      </c>
      <c r="H365" s="2" t="str">
        <f>VLOOKUP(A365,Holidays!$A$2:$B$2107,2,1)</f>
        <v>N</v>
      </c>
      <c r="I365" s="2" t="str">
        <f>VLOOKUP(A365,Holidays!$A$2:$C$2107,3,1)</f>
        <v>N</v>
      </c>
    </row>
    <row r="366" spans="1:9" x14ac:dyDescent="0.45">
      <c r="A366" s="1">
        <v>42369</v>
      </c>
      <c r="B366">
        <v>146473.83499999999</v>
      </c>
      <c r="C366">
        <v>101.99155880000001</v>
      </c>
      <c r="D366" s="2">
        <v>19.7</v>
      </c>
      <c r="E366" s="2">
        <v>39.700000000000003</v>
      </c>
      <c r="F366" s="2">
        <v>29.6</v>
      </c>
      <c r="G366" s="2">
        <v>0</v>
      </c>
      <c r="H366" s="2" t="str">
        <f>VLOOKUP(A366,Holidays!$A$2:$B$2107,2,1)</f>
        <v>N</v>
      </c>
      <c r="I366" s="2" t="str">
        <f>VLOOKUP(A366,Holidays!$A$2:$C$2107,3,1)</f>
        <v>N</v>
      </c>
    </row>
    <row r="367" spans="1:9" x14ac:dyDescent="0.45">
      <c r="A367" s="1">
        <v>42370</v>
      </c>
      <c r="B367">
        <v>116040.925</v>
      </c>
      <c r="C367">
        <v>32.527673360000001</v>
      </c>
      <c r="D367" s="2">
        <v>19.8</v>
      </c>
      <c r="E367" s="2">
        <v>24.2</v>
      </c>
      <c r="F367" s="2">
        <v>22</v>
      </c>
      <c r="G367" s="2">
        <v>0</v>
      </c>
      <c r="H367" s="2" t="str">
        <f>VLOOKUP(A367,Holidays!$A$2:$B$2107,2,1)</f>
        <v>N</v>
      </c>
      <c r="I367" s="2" t="str">
        <f>VLOOKUP(A367,Holidays!$A$2:$C$2107,3,1)</f>
        <v>Y</v>
      </c>
    </row>
    <row r="368" spans="1:9" x14ac:dyDescent="0.45">
      <c r="A368" s="1">
        <v>42371</v>
      </c>
      <c r="B368">
        <v>99622.64</v>
      </c>
      <c r="C368">
        <v>21.894560760000001</v>
      </c>
      <c r="D368" s="2">
        <v>17.100000000000001</v>
      </c>
      <c r="E368" s="2">
        <v>27.6</v>
      </c>
      <c r="F368" s="2">
        <v>25.1</v>
      </c>
      <c r="G368" s="2">
        <v>0</v>
      </c>
      <c r="H368" s="2" t="str">
        <f>VLOOKUP(A368,Holidays!$A$2:$B$2107,2,1)</f>
        <v>N</v>
      </c>
      <c r="I368" s="2" t="str">
        <f>VLOOKUP(A368,Holidays!$A$2:$C$2107,3,1)</f>
        <v>N</v>
      </c>
    </row>
    <row r="369" spans="1:9" x14ac:dyDescent="0.45">
      <c r="A369" s="1">
        <v>42372</v>
      </c>
      <c r="B369">
        <v>97656.445000000007</v>
      </c>
      <c r="C369">
        <v>19.895384799999999</v>
      </c>
      <c r="D369" s="2">
        <v>17.5</v>
      </c>
      <c r="E369" s="2">
        <v>27.1</v>
      </c>
      <c r="F369" s="2">
        <v>25.7</v>
      </c>
      <c r="G369" s="2">
        <v>0</v>
      </c>
      <c r="H369" s="2" t="str">
        <f>VLOOKUP(A369,Holidays!$A$2:$B$2107,2,1)</f>
        <v>N</v>
      </c>
      <c r="I369" s="2" t="str">
        <f>VLOOKUP(A369,Holidays!$A$2:$C$2107,3,1)</f>
        <v>N</v>
      </c>
    </row>
    <row r="370" spans="1:9" x14ac:dyDescent="0.45">
      <c r="A370" s="1">
        <v>42373</v>
      </c>
      <c r="B370">
        <v>110932.505</v>
      </c>
      <c r="C370">
        <v>25.443479239999998</v>
      </c>
      <c r="D370" s="2">
        <v>16.3</v>
      </c>
      <c r="E370" s="2">
        <v>26</v>
      </c>
      <c r="F370" s="2">
        <v>15.3</v>
      </c>
      <c r="G370" s="2">
        <v>0</v>
      </c>
      <c r="H370" s="2" t="str">
        <f>VLOOKUP(A370,Holidays!$A$2:$B$2107,2,1)</f>
        <v>N</v>
      </c>
      <c r="I370" s="2" t="str">
        <f>VLOOKUP(A370,Holidays!$A$2:$C$2107,3,1)</f>
        <v>N</v>
      </c>
    </row>
    <row r="371" spans="1:9" x14ac:dyDescent="0.45">
      <c r="A371" s="1">
        <v>42374</v>
      </c>
      <c r="B371">
        <v>117873.58</v>
      </c>
      <c r="C371">
        <v>29.917187370000001</v>
      </c>
      <c r="D371" s="2">
        <v>17.100000000000001</v>
      </c>
      <c r="E371" s="2">
        <v>25.7</v>
      </c>
      <c r="F371" s="2">
        <v>25.8</v>
      </c>
      <c r="G371" s="2">
        <v>0</v>
      </c>
      <c r="H371" s="2" t="str">
        <f>VLOOKUP(A371,Holidays!$A$2:$B$2107,2,1)</f>
        <v>N</v>
      </c>
      <c r="I371" s="2" t="str">
        <f>VLOOKUP(A371,Holidays!$A$2:$C$2107,3,1)</f>
        <v>N</v>
      </c>
    </row>
    <row r="372" spans="1:9" x14ac:dyDescent="0.45">
      <c r="A372" s="1">
        <v>42375</v>
      </c>
      <c r="B372">
        <v>115064.265</v>
      </c>
      <c r="C372">
        <v>31.790252049999999</v>
      </c>
      <c r="D372" s="2">
        <v>17.3</v>
      </c>
      <c r="E372" s="2">
        <v>25.7</v>
      </c>
      <c r="F372" s="2">
        <v>18.100000000000001</v>
      </c>
      <c r="G372" s="2">
        <v>0</v>
      </c>
      <c r="H372" s="2" t="str">
        <f>VLOOKUP(A372,Holidays!$A$2:$B$2107,2,1)</f>
        <v>N</v>
      </c>
      <c r="I372" s="2" t="str">
        <f>VLOOKUP(A372,Holidays!$A$2:$C$2107,3,1)</f>
        <v>N</v>
      </c>
    </row>
    <row r="373" spans="1:9" x14ac:dyDescent="0.45">
      <c r="A373" s="1">
        <v>42376</v>
      </c>
      <c r="B373">
        <v>112392.69500000001</v>
      </c>
      <c r="C373">
        <v>34.445069169999996</v>
      </c>
      <c r="D373" s="2">
        <v>16.3</v>
      </c>
      <c r="E373" s="2">
        <v>21.3</v>
      </c>
      <c r="F373" s="2">
        <v>30.4</v>
      </c>
      <c r="G373" s="2">
        <v>0</v>
      </c>
      <c r="H373" s="2" t="str">
        <f>VLOOKUP(A373,Holidays!$A$2:$B$2107,2,1)</f>
        <v>N</v>
      </c>
      <c r="I373" s="2" t="str">
        <f>VLOOKUP(A373,Holidays!$A$2:$C$2107,3,1)</f>
        <v>N</v>
      </c>
    </row>
    <row r="374" spans="1:9" x14ac:dyDescent="0.45">
      <c r="A374" s="1">
        <v>42377</v>
      </c>
      <c r="B374">
        <v>111879.54</v>
      </c>
      <c r="C374">
        <v>36.888156160000001</v>
      </c>
      <c r="D374" s="2">
        <v>16.2</v>
      </c>
      <c r="E374" s="2">
        <v>20.6</v>
      </c>
      <c r="F374" s="2">
        <v>25.4</v>
      </c>
      <c r="G374" s="2">
        <v>0</v>
      </c>
      <c r="H374" s="2" t="str">
        <f>VLOOKUP(A374,Holidays!$A$2:$B$2107,2,1)</f>
        <v>N</v>
      </c>
      <c r="I374" s="2" t="str">
        <f>VLOOKUP(A374,Holidays!$A$2:$C$2107,3,1)</f>
        <v>N</v>
      </c>
    </row>
    <row r="375" spans="1:9" x14ac:dyDescent="0.45">
      <c r="A375" s="1">
        <v>42378</v>
      </c>
      <c r="B375">
        <v>105482.69500000001</v>
      </c>
      <c r="C375">
        <v>41.987823249999998</v>
      </c>
      <c r="D375" s="2">
        <v>16.8</v>
      </c>
      <c r="E375" s="2">
        <v>21.4</v>
      </c>
      <c r="F375" s="2">
        <v>21.3</v>
      </c>
      <c r="G375" s="2">
        <v>0</v>
      </c>
      <c r="H375" s="2" t="str">
        <f>VLOOKUP(A375,Holidays!$A$2:$B$2107,2,1)</f>
        <v>N</v>
      </c>
      <c r="I375" s="2" t="str">
        <f>VLOOKUP(A375,Holidays!$A$2:$C$2107,3,1)</f>
        <v>N</v>
      </c>
    </row>
    <row r="376" spans="1:9" x14ac:dyDescent="0.45">
      <c r="A376" s="1">
        <v>42379</v>
      </c>
      <c r="B376">
        <v>113049.145</v>
      </c>
      <c r="C376">
        <v>44.479787029999997</v>
      </c>
      <c r="D376" s="2">
        <v>15.7</v>
      </c>
      <c r="E376" s="2">
        <v>31.5</v>
      </c>
      <c r="F376" s="2">
        <v>31.3</v>
      </c>
      <c r="G376" s="2">
        <v>0</v>
      </c>
      <c r="H376" s="2" t="str">
        <f>VLOOKUP(A376,Holidays!$A$2:$B$2107,2,1)</f>
        <v>N</v>
      </c>
      <c r="I376" s="2" t="str">
        <f>VLOOKUP(A376,Holidays!$A$2:$C$2107,3,1)</f>
        <v>N</v>
      </c>
    </row>
    <row r="377" spans="1:9" x14ac:dyDescent="0.45">
      <c r="A377" s="1">
        <v>42380</v>
      </c>
      <c r="B377">
        <v>141133.08499999999</v>
      </c>
      <c r="C377">
        <v>88.116100790000004</v>
      </c>
      <c r="D377" s="2">
        <v>17.2</v>
      </c>
      <c r="E377" s="2">
        <v>36.4</v>
      </c>
      <c r="F377" s="2">
        <v>15.8</v>
      </c>
      <c r="G377" s="2">
        <v>0</v>
      </c>
      <c r="H377" s="2" t="str">
        <f>VLOOKUP(A377,Holidays!$A$2:$B$2107,2,1)</f>
        <v>N</v>
      </c>
      <c r="I377" s="2" t="str">
        <f>VLOOKUP(A377,Holidays!$A$2:$C$2107,3,1)</f>
        <v>N</v>
      </c>
    </row>
    <row r="378" spans="1:9" x14ac:dyDescent="0.45">
      <c r="A378" s="1">
        <v>42381</v>
      </c>
      <c r="B378">
        <v>135006.10999999999</v>
      </c>
      <c r="C378">
        <v>62.53997502</v>
      </c>
      <c r="D378" s="2">
        <v>17.100000000000001</v>
      </c>
      <c r="E378" s="2">
        <v>24.8</v>
      </c>
      <c r="F378" s="2">
        <v>29.1</v>
      </c>
      <c r="G378" s="2">
        <v>0.8</v>
      </c>
      <c r="H378" s="2" t="str">
        <f>VLOOKUP(A378,Holidays!$A$2:$B$2107,2,1)</f>
        <v>N</v>
      </c>
      <c r="I378" s="2" t="str">
        <f>VLOOKUP(A378,Holidays!$A$2:$C$2107,3,1)</f>
        <v>N</v>
      </c>
    </row>
    <row r="379" spans="1:9" x14ac:dyDescent="0.45">
      <c r="A379" s="1">
        <v>42382</v>
      </c>
      <c r="B379">
        <v>160011.07500000001</v>
      </c>
      <c r="C379">
        <v>545.73781959999997</v>
      </c>
      <c r="D379" s="2">
        <v>16.8</v>
      </c>
      <c r="E379" s="2">
        <v>42.2</v>
      </c>
      <c r="F379" s="2">
        <v>25</v>
      </c>
      <c r="G379" s="2">
        <v>0.2</v>
      </c>
      <c r="H379" s="2" t="str">
        <f>VLOOKUP(A379,Holidays!$A$2:$B$2107,2,1)</f>
        <v>N</v>
      </c>
      <c r="I379" s="2" t="str">
        <f>VLOOKUP(A379,Holidays!$A$2:$C$2107,3,1)</f>
        <v>N</v>
      </c>
    </row>
    <row r="380" spans="1:9" x14ac:dyDescent="0.45">
      <c r="A380" s="1">
        <v>42383</v>
      </c>
      <c r="B380">
        <v>120396.33500000001</v>
      </c>
      <c r="C380">
        <v>36.37140419</v>
      </c>
      <c r="D380" s="2">
        <v>16.100000000000001</v>
      </c>
      <c r="E380" s="2">
        <v>18.100000000000001</v>
      </c>
      <c r="F380" s="2">
        <v>3.9</v>
      </c>
      <c r="G380" s="2">
        <v>0.4</v>
      </c>
      <c r="H380" s="2" t="str">
        <f>VLOOKUP(A380,Holidays!$A$2:$B$2107,2,1)</f>
        <v>N</v>
      </c>
      <c r="I380" s="2" t="str">
        <f>VLOOKUP(A380,Holidays!$A$2:$C$2107,3,1)</f>
        <v>N</v>
      </c>
    </row>
    <row r="381" spans="1:9" x14ac:dyDescent="0.45">
      <c r="A381" s="1">
        <v>42384</v>
      </c>
      <c r="B381">
        <v>113244.79</v>
      </c>
      <c r="C381">
        <v>30.203903069999999</v>
      </c>
      <c r="D381" s="2">
        <v>13.6</v>
      </c>
      <c r="E381" s="2">
        <v>19.2</v>
      </c>
      <c r="F381" s="2">
        <v>19.7</v>
      </c>
      <c r="G381" s="2">
        <v>1</v>
      </c>
      <c r="H381" s="2" t="str">
        <f>VLOOKUP(A381,Holidays!$A$2:$B$2107,2,1)</f>
        <v>N</v>
      </c>
      <c r="I381" s="2" t="str">
        <f>VLOOKUP(A381,Holidays!$A$2:$C$2107,3,1)</f>
        <v>N</v>
      </c>
    </row>
    <row r="382" spans="1:9" x14ac:dyDescent="0.45">
      <c r="A382" s="1">
        <v>42385</v>
      </c>
      <c r="B382">
        <v>103046.17</v>
      </c>
      <c r="C382">
        <v>23.67497011</v>
      </c>
      <c r="D382" s="2">
        <v>11.9</v>
      </c>
      <c r="E382" s="2">
        <v>22.3</v>
      </c>
      <c r="F382" s="2">
        <v>32.6</v>
      </c>
      <c r="G382" s="2">
        <v>0</v>
      </c>
      <c r="H382" s="2" t="str">
        <f>VLOOKUP(A382,Holidays!$A$2:$B$2107,2,1)</f>
        <v>N</v>
      </c>
      <c r="I382" s="2" t="str">
        <f>VLOOKUP(A382,Holidays!$A$2:$C$2107,3,1)</f>
        <v>N</v>
      </c>
    </row>
    <row r="383" spans="1:9" x14ac:dyDescent="0.45">
      <c r="A383" s="1">
        <v>42386</v>
      </c>
      <c r="B383">
        <v>114097.07</v>
      </c>
      <c r="C383">
        <v>29.153261950000001</v>
      </c>
      <c r="D383" s="2">
        <v>14.9</v>
      </c>
      <c r="E383" s="2">
        <v>32.700000000000003</v>
      </c>
      <c r="F383" s="2">
        <v>31.5</v>
      </c>
      <c r="G383" s="2">
        <v>0</v>
      </c>
      <c r="H383" s="2" t="str">
        <f>VLOOKUP(A383,Holidays!$A$2:$B$2107,2,1)</f>
        <v>N</v>
      </c>
      <c r="I383" s="2" t="str">
        <f>VLOOKUP(A383,Holidays!$A$2:$C$2107,3,1)</f>
        <v>N</v>
      </c>
    </row>
    <row r="384" spans="1:9" x14ac:dyDescent="0.45">
      <c r="A384" s="1">
        <v>42387</v>
      </c>
      <c r="B384">
        <v>147817.58499999999</v>
      </c>
      <c r="C384">
        <v>43.409358019999999</v>
      </c>
      <c r="D384" s="2">
        <v>18.600000000000001</v>
      </c>
      <c r="E384" s="2">
        <v>35.299999999999997</v>
      </c>
      <c r="F384" s="2">
        <v>30.4</v>
      </c>
      <c r="G384" s="2">
        <v>0</v>
      </c>
      <c r="H384" s="2" t="str">
        <f>VLOOKUP(A384,Holidays!$A$2:$B$2107,2,1)</f>
        <v>N</v>
      </c>
      <c r="I384" s="2" t="str">
        <f>VLOOKUP(A384,Holidays!$A$2:$C$2107,3,1)</f>
        <v>N</v>
      </c>
    </row>
    <row r="385" spans="1:9" x14ac:dyDescent="0.45">
      <c r="A385" s="1">
        <v>42388</v>
      </c>
      <c r="B385">
        <v>148612.37</v>
      </c>
      <c r="C385">
        <v>49.257935250000003</v>
      </c>
      <c r="D385" s="2">
        <v>17.899999999999999</v>
      </c>
      <c r="E385" s="2">
        <v>30.9</v>
      </c>
      <c r="F385" s="2">
        <v>27.2</v>
      </c>
      <c r="G385" s="2">
        <v>0</v>
      </c>
      <c r="H385" s="2" t="str">
        <f>VLOOKUP(A385,Holidays!$A$2:$B$2107,2,1)</f>
        <v>N</v>
      </c>
      <c r="I385" s="2" t="str">
        <f>VLOOKUP(A385,Holidays!$A$2:$C$2107,3,1)</f>
        <v>N</v>
      </c>
    </row>
    <row r="386" spans="1:9" x14ac:dyDescent="0.45">
      <c r="A386" s="1">
        <v>42389</v>
      </c>
      <c r="B386">
        <v>142471.51</v>
      </c>
      <c r="C386">
        <v>53.300398770000001</v>
      </c>
      <c r="D386" s="2">
        <v>19.3</v>
      </c>
      <c r="E386" s="2">
        <v>29.1</v>
      </c>
      <c r="F386" s="2">
        <v>18.600000000000001</v>
      </c>
      <c r="G386" s="2">
        <v>1</v>
      </c>
      <c r="H386" s="2" t="str">
        <f>VLOOKUP(A386,Holidays!$A$2:$B$2107,2,1)</f>
        <v>N</v>
      </c>
      <c r="I386" s="2" t="str">
        <f>VLOOKUP(A386,Holidays!$A$2:$C$2107,3,1)</f>
        <v>N</v>
      </c>
    </row>
    <row r="387" spans="1:9" x14ac:dyDescent="0.45">
      <c r="A387" s="1">
        <v>42390</v>
      </c>
      <c r="B387">
        <v>139450.61499999999</v>
      </c>
      <c r="C387">
        <v>55.470089539999996</v>
      </c>
      <c r="D387" s="2">
        <v>19</v>
      </c>
      <c r="E387" s="2">
        <v>26.7</v>
      </c>
      <c r="F387" s="2">
        <v>14.9</v>
      </c>
      <c r="G387" s="2">
        <v>0.8</v>
      </c>
      <c r="H387" s="2" t="str">
        <f>VLOOKUP(A387,Holidays!$A$2:$B$2107,2,1)</f>
        <v>N</v>
      </c>
      <c r="I387" s="2" t="str">
        <f>VLOOKUP(A387,Holidays!$A$2:$C$2107,3,1)</f>
        <v>N</v>
      </c>
    </row>
    <row r="388" spans="1:9" x14ac:dyDescent="0.45">
      <c r="A388" s="1">
        <v>42391</v>
      </c>
      <c r="B388">
        <v>129135.185</v>
      </c>
      <c r="C388">
        <v>42.337732770000002</v>
      </c>
      <c r="D388" s="2">
        <v>17.5</v>
      </c>
      <c r="E388" s="2">
        <v>22.8</v>
      </c>
      <c r="F388" s="2">
        <v>6.5</v>
      </c>
      <c r="G388" s="2">
        <v>1.6</v>
      </c>
      <c r="H388" s="2" t="str">
        <f>VLOOKUP(A388,Holidays!$A$2:$B$2107,2,1)</f>
        <v>N</v>
      </c>
      <c r="I388" s="2" t="str">
        <f>VLOOKUP(A388,Holidays!$A$2:$C$2107,3,1)</f>
        <v>N</v>
      </c>
    </row>
    <row r="389" spans="1:9" x14ac:dyDescent="0.45">
      <c r="A389" s="1">
        <v>42392</v>
      </c>
      <c r="B389">
        <v>108097.845</v>
      </c>
      <c r="C389">
        <v>26.975023329999999</v>
      </c>
      <c r="D389" s="2">
        <v>17.3</v>
      </c>
      <c r="E389" s="2">
        <v>21.9</v>
      </c>
      <c r="F389" s="2">
        <v>23.2</v>
      </c>
      <c r="G389" s="2">
        <v>7</v>
      </c>
      <c r="H389" s="2" t="str">
        <f>VLOOKUP(A389,Holidays!$A$2:$B$2107,2,1)</f>
        <v>N</v>
      </c>
      <c r="I389" s="2" t="str">
        <f>VLOOKUP(A389,Holidays!$A$2:$C$2107,3,1)</f>
        <v>N</v>
      </c>
    </row>
    <row r="390" spans="1:9" x14ac:dyDescent="0.45">
      <c r="A390" s="1">
        <v>42393</v>
      </c>
      <c r="B390">
        <v>103396.3</v>
      </c>
      <c r="C390">
        <v>26.412209069999999</v>
      </c>
      <c r="D390" s="2">
        <v>16.2</v>
      </c>
      <c r="E390" s="2">
        <v>22.2</v>
      </c>
      <c r="F390" s="2">
        <v>23.4</v>
      </c>
      <c r="G390" s="2">
        <v>5.2</v>
      </c>
      <c r="H390" s="2" t="str">
        <f>VLOOKUP(A390,Holidays!$A$2:$B$2107,2,1)</f>
        <v>N</v>
      </c>
      <c r="I390" s="2" t="str">
        <f>VLOOKUP(A390,Holidays!$A$2:$C$2107,3,1)</f>
        <v>N</v>
      </c>
    </row>
    <row r="391" spans="1:9" x14ac:dyDescent="0.45">
      <c r="A391" s="1">
        <v>42394</v>
      </c>
      <c r="B391">
        <v>112649.60000000001</v>
      </c>
      <c r="C391">
        <v>27.59659014</v>
      </c>
      <c r="D391" s="2">
        <v>16.7</v>
      </c>
      <c r="E391" s="2">
        <v>20.9</v>
      </c>
      <c r="F391" s="2">
        <v>25.7</v>
      </c>
      <c r="G391" s="2">
        <v>0.4</v>
      </c>
      <c r="H391" s="2" t="str">
        <f>VLOOKUP(A391,Holidays!$A$2:$B$2107,2,1)</f>
        <v>N</v>
      </c>
      <c r="I391" s="2" t="str">
        <f>VLOOKUP(A391,Holidays!$A$2:$C$2107,3,1)</f>
        <v>N</v>
      </c>
    </row>
    <row r="392" spans="1:9" x14ac:dyDescent="0.45">
      <c r="A392" s="1">
        <v>42395</v>
      </c>
      <c r="B392">
        <v>110152.815</v>
      </c>
      <c r="C392">
        <v>25.276693940000001</v>
      </c>
      <c r="D392" s="2">
        <v>16.5</v>
      </c>
      <c r="E392" s="2">
        <v>29.4</v>
      </c>
      <c r="F392" s="2">
        <v>28.7</v>
      </c>
      <c r="G392" s="2">
        <v>0</v>
      </c>
      <c r="H392" s="2" t="str">
        <f>VLOOKUP(A392,Holidays!$A$2:$B$2107,2,1)</f>
        <v>N</v>
      </c>
      <c r="I392" s="2" t="str">
        <f>VLOOKUP(A392,Holidays!$A$2:$C$2107,3,1)</f>
        <v>Y</v>
      </c>
    </row>
    <row r="393" spans="1:9" x14ac:dyDescent="0.45">
      <c r="A393" s="1">
        <v>42396</v>
      </c>
      <c r="B393">
        <v>133718.035</v>
      </c>
      <c r="C393">
        <v>32.759849449999997</v>
      </c>
      <c r="D393" s="2">
        <v>19.3</v>
      </c>
      <c r="E393" s="2">
        <v>29.5</v>
      </c>
      <c r="F393" s="2">
        <v>22.2</v>
      </c>
      <c r="G393" s="2">
        <v>0</v>
      </c>
      <c r="H393" s="2" t="str">
        <f>VLOOKUP(A393,Holidays!$A$2:$B$2107,2,1)</f>
        <v>N</v>
      </c>
      <c r="I393" s="2" t="str">
        <f>VLOOKUP(A393,Holidays!$A$2:$C$2107,3,1)</f>
        <v>N</v>
      </c>
    </row>
    <row r="394" spans="1:9" x14ac:dyDescent="0.45">
      <c r="A394" s="1">
        <v>42397</v>
      </c>
      <c r="B394">
        <v>134169.82999999999</v>
      </c>
      <c r="C394">
        <v>33.324968159999997</v>
      </c>
      <c r="D394" s="2">
        <v>20.3</v>
      </c>
      <c r="E394" s="2">
        <v>27.5</v>
      </c>
      <c r="F394" s="2">
        <v>19</v>
      </c>
      <c r="G394" s="2">
        <v>3.6</v>
      </c>
      <c r="H394" s="2" t="str">
        <f>VLOOKUP(A394,Holidays!$A$2:$B$2107,2,1)</f>
        <v>Y</v>
      </c>
      <c r="I394" s="2" t="str">
        <f>VLOOKUP(A394,Holidays!$A$2:$C$2107,3,1)</f>
        <v>N</v>
      </c>
    </row>
    <row r="395" spans="1:9" x14ac:dyDescent="0.45">
      <c r="A395" s="1">
        <v>42398</v>
      </c>
      <c r="B395">
        <v>123615.21</v>
      </c>
      <c r="C395">
        <v>32.693847210000001</v>
      </c>
      <c r="D395" s="2">
        <v>14.4</v>
      </c>
      <c r="E395" s="2">
        <v>18.3</v>
      </c>
      <c r="F395" s="2">
        <v>14.3</v>
      </c>
      <c r="G395" s="2">
        <v>14.2</v>
      </c>
      <c r="H395" s="2" t="str">
        <f>VLOOKUP(A395,Holidays!$A$2:$B$2107,2,1)</f>
        <v>Y</v>
      </c>
      <c r="I395" s="2" t="str">
        <f>VLOOKUP(A395,Holidays!$A$2:$C$2107,3,1)</f>
        <v>N</v>
      </c>
    </row>
    <row r="396" spans="1:9" x14ac:dyDescent="0.45">
      <c r="A396" s="1">
        <v>42399</v>
      </c>
      <c r="B396">
        <v>107579.345</v>
      </c>
      <c r="C396">
        <v>23.84687233</v>
      </c>
      <c r="D396" s="2">
        <v>12.3</v>
      </c>
      <c r="E396" s="2">
        <v>22.4</v>
      </c>
      <c r="F396" s="2">
        <v>24</v>
      </c>
      <c r="G396" s="2">
        <v>1.2</v>
      </c>
      <c r="H396" s="2" t="str">
        <f>VLOOKUP(A396,Holidays!$A$2:$B$2107,2,1)</f>
        <v>Y</v>
      </c>
      <c r="I396" s="2" t="str">
        <f>VLOOKUP(A396,Holidays!$A$2:$C$2107,3,1)</f>
        <v>N</v>
      </c>
    </row>
    <row r="397" spans="1:9" x14ac:dyDescent="0.45">
      <c r="A397" s="1">
        <v>42400</v>
      </c>
      <c r="B397">
        <v>101279.65</v>
      </c>
      <c r="C397">
        <v>23.47662571</v>
      </c>
      <c r="D397" s="2">
        <v>13.9</v>
      </c>
      <c r="E397" s="2">
        <v>21.8</v>
      </c>
      <c r="F397" s="2">
        <v>26.3</v>
      </c>
      <c r="G397" s="2">
        <v>10.6</v>
      </c>
      <c r="H397" s="2" t="str">
        <f>VLOOKUP(A397,Holidays!$A$2:$B$2107,2,1)</f>
        <v>Y</v>
      </c>
      <c r="I397" s="2" t="str">
        <f>VLOOKUP(A397,Holidays!$A$2:$C$2107,3,1)</f>
        <v>N</v>
      </c>
    </row>
    <row r="398" spans="1:9" x14ac:dyDescent="0.45">
      <c r="A398" s="1">
        <v>42401</v>
      </c>
      <c r="B398">
        <v>121942.895</v>
      </c>
      <c r="C398">
        <v>31.58876665</v>
      </c>
      <c r="D398" s="2">
        <v>12.5</v>
      </c>
      <c r="E398" s="2">
        <v>23.6</v>
      </c>
      <c r="F398" s="2">
        <v>29.4</v>
      </c>
      <c r="G398" s="2">
        <v>0</v>
      </c>
      <c r="H398" s="2" t="str">
        <f>VLOOKUP(A398,Holidays!$A$2:$B$2107,2,1)</f>
        <v>Y</v>
      </c>
      <c r="I398" s="2" t="str">
        <f>VLOOKUP(A398,Holidays!$A$2:$C$2107,3,1)</f>
        <v>N</v>
      </c>
    </row>
    <row r="399" spans="1:9" x14ac:dyDescent="0.45">
      <c r="A399" s="1">
        <v>42402</v>
      </c>
      <c r="B399">
        <v>133989.155</v>
      </c>
      <c r="C399">
        <v>35.64081616</v>
      </c>
      <c r="D399" s="2">
        <v>15.4</v>
      </c>
      <c r="E399" s="2">
        <v>31.5</v>
      </c>
      <c r="F399" s="2">
        <v>25.5</v>
      </c>
      <c r="G399" s="2">
        <v>0</v>
      </c>
      <c r="H399" s="2" t="str">
        <f>VLOOKUP(A399,Holidays!$A$2:$B$2107,2,1)</f>
        <v>Y</v>
      </c>
      <c r="I399" s="2" t="str">
        <f>VLOOKUP(A399,Holidays!$A$2:$C$2107,3,1)</f>
        <v>N</v>
      </c>
    </row>
    <row r="400" spans="1:9" x14ac:dyDescent="0.45">
      <c r="A400" s="1">
        <v>42403</v>
      </c>
      <c r="B400">
        <v>122594.47500000001</v>
      </c>
      <c r="C400">
        <v>27.876043979999999</v>
      </c>
      <c r="D400" s="2">
        <v>18.100000000000001</v>
      </c>
      <c r="E400" s="2">
        <v>21</v>
      </c>
      <c r="F400" s="2">
        <v>11</v>
      </c>
      <c r="G400" s="2">
        <v>0.6</v>
      </c>
      <c r="H400" s="2" t="str">
        <f>VLOOKUP(A400,Holidays!$A$2:$B$2107,2,1)</f>
        <v>Y</v>
      </c>
      <c r="I400" s="2" t="str">
        <f>VLOOKUP(A400,Holidays!$A$2:$C$2107,3,1)</f>
        <v>N</v>
      </c>
    </row>
    <row r="401" spans="1:9" x14ac:dyDescent="0.45">
      <c r="A401" s="1">
        <v>42404</v>
      </c>
      <c r="B401">
        <v>119919.605</v>
      </c>
      <c r="C401">
        <v>22.3923782</v>
      </c>
      <c r="D401" s="2">
        <v>17.3</v>
      </c>
      <c r="E401" s="2">
        <v>20.9</v>
      </c>
      <c r="F401" s="2">
        <v>21.7</v>
      </c>
      <c r="G401" s="2">
        <v>2.4</v>
      </c>
      <c r="H401" s="2" t="str">
        <f>VLOOKUP(A401,Holidays!$A$2:$B$2107,2,1)</f>
        <v>Y</v>
      </c>
      <c r="I401" s="2" t="str">
        <f>VLOOKUP(A401,Holidays!$A$2:$C$2107,3,1)</f>
        <v>N</v>
      </c>
    </row>
    <row r="402" spans="1:9" x14ac:dyDescent="0.45">
      <c r="A402" s="1">
        <v>42405</v>
      </c>
      <c r="B402">
        <v>126330.55</v>
      </c>
      <c r="C402">
        <v>26.854502199999999</v>
      </c>
      <c r="D402" s="2">
        <v>15.3</v>
      </c>
      <c r="E402" s="2">
        <v>29.4</v>
      </c>
      <c r="F402" s="2">
        <v>29</v>
      </c>
      <c r="G402" s="2">
        <v>0</v>
      </c>
      <c r="H402" s="2" t="str">
        <f>VLOOKUP(A402,Holidays!$A$2:$B$2107,2,1)</f>
        <v>Y</v>
      </c>
      <c r="I402" s="2" t="str">
        <f>VLOOKUP(A402,Holidays!$A$2:$C$2107,3,1)</f>
        <v>N</v>
      </c>
    </row>
    <row r="403" spans="1:9" x14ac:dyDescent="0.45">
      <c r="A403" s="1">
        <v>42406</v>
      </c>
      <c r="B403">
        <v>123737.01</v>
      </c>
      <c r="C403">
        <v>28.72453436</v>
      </c>
      <c r="D403" s="2">
        <v>16.5</v>
      </c>
      <c r="E403" s="2">
        <v>32.6</v>
      </c>
      <c r="F403" s="2">
        <v>28.8</v>
      </c>
      <c r="G403" s="2">
        <v>0</v>
      </c>
      <c r="H403" s="2" t="str">
        <f>VLOOKUP(A403,Holidays!$A$2:$B$2107,2,1)</f>
        <v>Y</v>
      </c>
      <c r="I403" s="2" t="str">
        <f>VLOOKUP(A403,Holidays!$A$2:$C$2107,3,1)</f>
        <v>N</v>
      </c>
    </row>
    <row r="404" spans="1:9" x14ac:dyDescent="0.45">
      <c r="A404" s="1">
        <v>42407</v>
      </c>
      <c r="B404">
        <v>124436.81</v>
      </c>
      <c r="C404">
        <v>33.49284634</v>
      </c>
      <c r="D404" s="2">
        <v>19.100000000000001</v>
      </c>
      <c r="E404" s="2">
        <v>27.7</v>
      </c>
      <c r="F404" s="2">
        <v>28.5</v>
      </c>
      <c r="G404" s="2">
        <v>0</v>
      </c>
      <c r="H404" s="2" t="str">
        <f>VLOOKUP(A404,Holidays!$A$2:$B$2107,2,1)</f>
        <v>Y</v>
      </c>
      <c r="I404" s="2" t="str">
        <f>VLOOKUP(A404,Holidays!$A$2:$C$2107,3,1)</f>
        <v>N</v>
      </c>
    </row>
    <row r="405" spans="1:9" x14ac:dyDescent="0.45">
      <c r="A405" s="1">
        <v>42408</v>
      </c>
      <c r="B405">
        <v>129327.22500000001</v>
      </c>
      <c r="C405">
        <v>33.908603100000001</v>
      </c>
      <c r="D405" s="2">
        <v>19.2</v>
      </c>
      <c r="E405" s="2">
        <v>22.9</v>
      </c>
      <c r="F405" s="2">
        <v>23.3</v>
      </c>
      <c r="G405" s="2">
        <v>0</v>
      </c>
      <c r="H405" s="2" t="str">
        <f>VLOOKUP(A405,Holidays!$A$2:$B$2107,2,1)</f>
        <v>Y</v>
      </c>
      <c r="I405" s="2" t="str">
        <f>VLOOKUP(A405,Holidays!$A$2:$C$2107,3,1)</f>
        <v>N</v>
      </c>
    </row>
    <row r="406" spans="1:9" x14ac:dyDescent="0.45">
      <c r="A406" s="1">
        <v>42409</v>
      </c>
      <c r="B406">
        <v>131271.26500000001</v>
      </c>
      <c r="C406">
        <v>38.705675849999999</v>
      </c>
      <c r="D406" s="2">
        <v>17.399999999999999</v>
      </c>
      <c r="E406" s="2">
        <v>22.7</v>
      </c>
      <c r="F406" s="2">
        <v>27.7</v>
      </c>
      <c r="G406" s="2">
        <v>0</v>
      </c>
      <c r="H406" s="2" t="str">
        <f>VLOOKUP(A406,Holidays!$A$2:$B$2107,2,1)</f>
        <v>Y</v>
      </c>
      <c r="I406" s="2" t="str">
        <f>VLOOKUP(A406,Holidays!$A$2:$C$2107,3,1)</f>
        <v>N</v>
      </c>
    </row>
    <row r="407" spans="1:9" x14ac:dyDescent="0.45">
      <c r="A407" s="1">
        <v>42410</v>
      </c>
      <c r="B407">
        <v>132265.005</v>
      </c>
      <c r="C407">
        <v>41.376079619999999</v>
      </c>
      <c r="D407" s="2">
        <v>17.399999999999999</v>
      </c>
      <c r="E407" s="2">
        <v>23.3</v>
      </c>
      <c r="F407" s="2">
        <v>25.3</v>
      </c>
      <c r="G407" s="2">
        <v>0</v>
      </c>
      <c r="H407" s="2" t="str">
        <f>VLOOKUP(A407,Holidays!$A$2:$B$2107,2,1)</f>
        <v>Y</v>
      </c>
      <c r="I407" s="2" t="str">
        <f>VLOOKUP(A407,Holidays!$A$2:$C$2107,3,1)</f>
        <v>N</v>
      </c>
    </row>
    <row r="408" spans="1:9" x14ac:dyDescent="0.45">
      <c r="A408" s="1">
        <v>42411</v>
      </c>
      <c r="B408">
        <v>131003.79</v>
      </c>
      <c r="C408">
        <v>34.389933720000002</v>
      </c>
      <c r="D408" s="2">
        <v>18</v>
      </c>
      <c r="E408" s="2">
        <v>23.8</v>
      </c>
      <c r="F408" s="2">
        <v>27.6</v>
      </c>
      <c r="G408" s="2">
        <v>0</v>
      </c>
      <c r="H408" s="2" t="str">
        <f>VLOOKUP(A408,Holidays!$A$2:$B$2107,2,1)</f>
        <v>Y</v>
      </c>
      <c r="I408" s="2" t="str">
        <f>VLOOKUP(A408,Holidays!$A$2:$C$2107,3,1)</f>
        <v>N</v>
      </c>
    </row>
    <row r="409" spans="1:9" x14ac:dyDescent="0.45">
      <c r="A409" s="1">
        <v>42412</v>
      </c>
      <c r="B409">
        <v>133845.51999999999</v>
      </c>
      <c r="C409">
        <v>40.626650689999998</v>
      </c>
      <c r="D409" s="2">
        <v>16.7</v>
      </c>
      <c r="E409" s="2">
        <v>24.9</v>
      </c>
      <c r="F409" s="2">
        <v>27.9</v>
      </c>
      <c r="G409" s="2">
        <v>0</v>
      </c>
      <c r="H409" s="2" t="str">
        <f>VLOOKUP(A409,Holidays!$A$2:$B$2107,2,1)</f>
        <v>Y</v>
      </c>
      <c r="I409" s="2" t="str">
        <f>VLOOKUP(A409,Holidays!$A$2:$C$2107,3,1)</f>
        <v>N</v>
      </c>
    </row>
    <row r="410" spans="1:9" x14ac:dyDescent="0.45">
      <c r="A410" s="1">
        <v>42413</v>
      </c>
      <c r="B410">
        <v>120839.995</v>
      </c>
      <c r="C410">
        <v>32.231397960000002</v>
      </c>
      <c r="D410" s="2">
        <v>17.7</v>
      </c>
      <c r="E410" s="2">
        <v>30.3</v>
      </c>
      <c r="F410" s="2">
        <v>23.4</v>
      </c>
      <c r="G410" s="2">
        <v>0</v>
      </c>
      <c r="H410" s="2" t="str">
        <f>VLOOKUP(A410,Holidays!$A$2:$B$2107,2,1)</f>
        <v>Y</v>
      </c>
      <c r="I410" s="2" t="str">
        <f>VLOOKUP(A410,Holidays!$A$2:$C$2107,3,1)</f>
        <v>N</v>
      </c>
    </row>
    <row r="411" spans="1:9" x14ac:dyDescent="0.45">
      <c r="A411" s="1">
        <v>42414</v>
      </c>
      <c r="B411">
        <v>104364.735</v>
      </c>
      <c r="C411">
        <v>26.267269679999998</v>
      </c>
      <c r="D411" s="2">
        <v>16.399999999999999</v>
      </c>
      <c r="E411" s="2">
        <v>24.5</v>
      </c>
      <c r="F411" s="2">
        <v>22.9</v>
      </c>
      <c r="G411" s="2">
        <v>0</v>
      </c>
      <c r="H411" s="2" t="str">
        <f>VLOOKUP(A411,Holidays!$A$2:$B$2107,2,1)</f>
        <v>Y</v>
      </c>
      <c r="I411" s="2" t="str">
        <f>VLOOKUP(A411,Holidays!$A$2:$C$2107,3,1)</f>
        <v>N</v>
      </c>
    </row>
    <row r="412" spans="1:9" x14ac:dyDescent="0.45">
      <c r="A412" s="1">
        <v>42415</v>
      </c>
      <c r="B412">
        <v>120863.325</v>
      </c>
      <c r="C412">
        <v>32.56207053</v>
      </c>
      <c r="D412" s="2">
        <v>14</v>
      </c>
      <c r="E412" s="2">
        <v>26.1</v>
      </c>
      <c r="F412" s="2">
        <v>25.4</v>
      </c>
      <c r="G412" s="2">
        <v>0</v>
      </c>
      <c r="H412" s="2" t="str">
        <f>VLOOKUP(A412,Holidays!$A$2:$B$2107,2,1)</f>
        <v>Y</v>
      </c>
      <c r="I412" s="2" t="str">
        <f>VLOOKUP(A412,Holidays!$A$2:$C$2107,3,1)</f>
        <v>N</v>
      </c>
    </row>
    <row r="413" spans="1:9" x14ac:dyDescent="0.45">
      <c r="A413" s="1">
        <v>42416</v>
      </c>
      <c r="B413">
        <v>117062.035</v>
      </c>
      <c r="C413">
        <v>29.585353430000001</v>
      </c>
      <c r="D413" s="2">
        <v>13.7</v>
      </c>
      <c r="E413" s="2">
        <v>18.399999999999999</v>
      </c>
      <c r="F413" s="2">
        <v>14.5</v>
      </c>
      <c r="G413" s="2">
        <v>3.6</v>
      </c>
      <c r="H413" s="2" t="str">
        <f>VLOOKUP(A413,Holidays!$A$2:$B$2107,2,1)</f>
        <v>Y</v>
      </c>
      <c r="I413" s="2" t="str">
        <f>VLOOKUP(A413,Holidays!$A$2:$C$2107,3,1)</f>
        <v>N</v>
      </c>
    </row>
    <row r="414" spans="1:9" x14ac:dyDescent="0.45">
      <c r="A414" s="1">
        <v>42417</v>
      </c>
      <c r="B414">
        <v>119481.79</v>
      </c>
      <c r="C414">
        <v>32.504514059999998</v>
      </c>
      <c r="D414" s="2">
        <v>12.7</v>
      </c>
      <c r="E414" s="2">
        <v>21.1</v>
      </c>
      <c r="F414" s="2">
        <v>16.2</v>
      </c>
      <c r="G414" s="2">
        <v>0.6</v>
      </c>
      <c r="H414" s="2" t="str">
        <f>VLOOKUP(A414,Holidays!$A$2:$B$2107,2,1)</f>
        <v>Y</v>
      </c>
      <c r="I414" s="2" t="str">
        <f>VLOOKUP(A414,Holidays!$A$2:$C$2107,3,1)</f>
        <v>N</v>
      </c>
    </row>
    <row r="415" spans="1:9" x14ac:dyDescent="0.45">
      <c r="A415" s="1">
        <v>42418</v>
      </c>
      <c r="B415">
        <v>125964.185</v>
      </c>
      <c r="C415">
        <v>47.404309140000002</v>
      </c>
      <c r="D415" s="2">
        <v>15.5</v>
      </c>
      <c r="E415" s="2">
        <v>22.6</v>
      </c>
      <c r="F415" s="2">
        <v>20.6</v>
      </c>
      <c r="G415" s="2">
        <v>1.2</v>
      </c>
      <c r="H415" s="2" t="str">
        <f>VLOOKUP(A415,Holidays!$A$2:$B$2107,2,1)</f>
        <v>Y</v>
      </c>
      <c r="I415" s="2" t="str">
        <f>VLOOKUP(A415,Holidays!$A$2:$C$2107,3,1)</f>
        <v>N</v>
      </c>
    </row>
    <row r="416" spans="1:9" x14ac:dyDescent="0.45">
      <c r="A416" s="1">
        <v>42419</v>
      </c>
      <c r="B416">
        <v>122991.66</v>
      </c>
      <c r="C416">
        <v>43.694896810000003</v>
      </c>
      <c r="D416" s="2">
        <v>15.8</v>
      </c>
      <c r="E416" s="2">
        <v>22</v>
      </c>
      <c r="F416" s="2">
        <v>11.2</v>
      </c>
      <c r="G416" s="2">
        <v>0.2</v>
      </c>
      <c r="H416" s="2" t="str">
        <f>VLOOKUP(A416,Holidays!$A$2:$B$2107,2,1)</f>
        <v>Y</v>
      </c>
      <c r="I416" s="2" t="str">
        <f>VLOOKUP(A416,Holidays!$A$2:$C$2107,3,1)</f>
        <v>N</v>
      </c>
    </row>
    <row r="417" spans="1:9" x14ac:dyDescent="0.45">
      <c r="A417" s="1">
        <v>42420</v>
      </c>
      <c r="B417">
        <v>105911.71</v>
      </c>
      <c r="C417">
        <v>26.30452433</v>
      </c>
      <c r="D417" s="2">
        <v>15.8</v>
      </c>
      <c r="E417" s="2">
        <v>20.8</v>
      </c>
      <c r="F417" s="2">
        <v>23.8</v>
      </c>
      <c r="G417" s="2">
        <v>0</v>
      </c>
      <c r="H417" s="2" t="str">
        <f>VLOOKUP(A417,Holidays!$A$2:$B$2107,2,1)</f>
        <v>Y</v>
      </c>
      <c r="I417" s="2" t="str">
        <f>VLOOKUP(A417,Holidays!$A$2:$C$2107,3,1)</f>
        <v>N</v>
      </c>
    </row>
    <row r="418" spans="1:9" x14ac:dyDescent="0.45">
      <c r="A418" s="1">
        <v>42421</v>
      </c>
      <c r="B418">
        <v>107884.355</v>
      </c>
      <c r="C418">
        <v>24.60568176</v>
      </c>
      <c r="D418" s="2">
        <v>12.6</v>
      </c>
      <c r="E418" s="2">
        <v>24.7</v>
      </c>
      <c r="F418" s="2">
        <v>26.5</v>
      </c>
      <c r="G418" s="2">
        <v>0</v>
      </c>
      <c r="H418" s="2" t="str">
        <f>VLOOKUP(A418,Holidays!$A$2:$B$2107,2,1)</f>
        <v>Y</v>
      </c>
      <c r="I418" s="2" t="str">
        <f>VLOOKUP(A418,Holidays!$A$2:$C$2107,3,1)</f>
        <v>N</v>
      </c>
    </row>
    <row r="419" spans="1:9" x14ac:dyDescent="0.45">
      <c r="A419" s="1">
        <v>42422</v>
      </c>
      <c r="B419">
        <v>130527.325</v>
      </c>
      <c r="C419">
        <v>55.280231450000002</v>
      </c>
      <c r="D419" s="2">
        <v>15.6</v>
      </c>
      <c r="E419" s="2">
        <v>29.5</v>
      </c>
      <c r="F419" s="2">
        <v>8.4</v>
      </c>
      <c r="G419" s="2">
        <v>0</v>
      </c>
      <c r="H419" s="2" t="str">
        <f>VLOOKUP(A419,Holidays!$A$2:$B$2107,2,1)</f>
        <v>Y</v>
      </c>
      <c r="I419" s="2" t="str">
        <f>VLOOKUP(A419,Holidays!$A$2:$C$2107,3,1)</f>
        <v>N</v>
      </c>
    </row>
    <row r="420" spans="1:9" x14ac:dyDescent="0.45">
      <c r="A420" s="1">
        <v>42423</v>
      </c>
      <c r="B420">
        <v>156924.82999999999</v>
      </c>
      <c r="C420">
        <v>66.960656470000004</v>
      </c>
      <c r="D420" s="2">
        <v>18.100000000000001</v>
      </c>
      <c r="E420" s="2">
        <v>39.4</v>
      </c>
      <c r="F420" s="2">
        <v>19.399999999999999</v>
      </c>
      <c r="G420" s="2">
        <v>0</v>
      </c>
      <c r="H420" s="2" t="str">
        <f>VLOOKUP(A420,Holidays!$A$2:$B$2107,2,1)</f>
        <v>Y</v>
      </c>
      <c r="I420" s="2" t="str">
        <f>VLOOKUP(A420,Holidays!$A$2:$C$2107,3,1)</f>
        <v>N</v>
      </c>
    </row>
    <row r="421" spans="1:9" x14ac:dyDescent="0.45">
      <c r="A421" s="1">
        <v>42424</v>
      </c>
      <c r="B421">
        <v>152419.41500000001</v>
      </c>
      <c r="C421">
        <v>72.240699939999999</v>
      </c>
      <c r="D421" s="2">
        <v>22.4</v>
      </c>
      <c r="E421" s="2">
        <v>25.6</v>
      </c>
      <c r="F421" s="2">
        <v>15.8</v>
      </c>
      <c r="G421" s="2">
        <v>0</v>
      </c>
      <c r="H421" s="2" t="str">
        <f>VLOOKUP(A421,Holidays!$A$2:$B$2107,2,1)</f>
        <v>Y</v>
      </c>
      <c r="I421" s="2" t="str">
        <f>VLOOKUP(A421,Holidays!$A$2:$C$2107,3,1)</f>
        <v>N</v>
      </c>
    </row>
    <row r="422" spans="1:9" x14ac:dyDescent="0.45">
      <c r="A422" s="1">
        <v>42425</v>
      </c>
      <c r="B422">
        <v>138064.85500000001</v>
      </c>
      <c r="C422">
        <v>43.386786059999999</v>
      </c>
      <c r="D422" s="2">
        <v>19.600000000000001</v>
      </c>
      <c r="E422" s="2">
        <v>26.4</v>
      </c>
      <c r="F422" s="2">
        <v>13.8</v>
      </c>
      <c r="G422" s="2">
        <v>0.4</v>
      </c>
      <c r="H422" s="2" t="str">
        <f>VLOOKUP(A422,Holidays!$A$2:$B$2107,2,1)</f>
        <v>Y</v>
      </c>
      <c r="I422" s="2" t="str">
        <f>VLOOKUP(A422,Holidays!$A$2:$C$2107,3,1)</f>
        <v>N</v>
      </c>
    </row>
    <row r="423" spans="1:9" x14ac:dyDescent="0.45">
      <c r="A423" s="1">
        <v>42426</v>
      </c>
      <c r="B423">
        <v>122575.935</v>
      </c>
      <c r="C423">
        <v>35.552542870000003</v>
      </c>
      <c r="D423" s="2">
        <v>15.5</v>
      </c>
      <c r="E423" s="2">
        <v>23.5</v>
      </c>
      <c r="F423" s="2">
        <v>19.3</v>
      </c>
      <c r="G423" s="2">
        <v>0</v>
      </c>
      <c r="H423" s="2" t="str">
        <f>VLOOKUP(A423,Holidays!$A$2:$B$2107,2,1)</f>
        <v>Y</v>
      </c>
      <c r="I423" s="2" t="str">
        <f>VLOOKUP(A423,Holidays!$A$2:$C$2107,3,1)</f>
        <v>N</v>
      </c>
    </row>
    <row r="424" spans="1:9" x14ac:dyDescent="0.45">
      <c r="A424" s="1">
        <v>42427</v>
      </c>
      <c r="B424">
        <v>110545.84</v>
      </c>
      <c r="C424">
        <v>32.105705630000003</v>
      </c>
      <c r="D424" s="2">
        <v>17.7</v>
      </c>
      <c r="E424" s="2">
        <v>22.2</v>
      </c>
      <c r="F424" s="2">
        <v>17.7</v>
      </c>
      <c r="G424" s="2">
        <v>0</v>
      </c>
      <c r="H424" s="2" t="str">
        <f>VLOOKUP(A424,Holidays!$A$2:$B$2107,2,1)</f>
        <v>Y</v>
      </c>
      <c r="I424" s="2" t="str">
        <f>VLOOKUP(A424,Holidays!$A$2:$C$2107,3,1)</f>
        <v>N</v>
      </c>
    </row>
    <row r="425" spans="1:9" x14ac:dyDescent="0.45">
      <c r="A425" s="1">
        <v>42428</v>
      </c>
      <c r="B425">
        <v>105781.985</v>
      </c>
      <c r="C425">
        <v>30.398442679999999</v>
      </c>
      <c r="D425" s="2">
        <v>17.7</v>
      </c>
      <c r="E425" s="2">
        <v>22.7</v>
      </c>
      <c r="F425" s="2">
        <v>21.5</v>
      </c>
      <c r="G425" s="2">
        <v>0</v>
      </c>
      <c r="H425" s="2" t="str">
        <f>VLOOKUP(A425,Holidays!$A$2:$B$2107,2,1)</f>
        <v>Y</v>
      </c>
      <c r="I425" s="2" t="str">
        <f>VLOOKUP(A425,Holidays!$A$2:$C$2107,3,1)</f>
        <v>N</v>
      </c>
    </row>
    <row r="426" spans="1:9" x14ac:dyDescent="0.45">
      <c r="A426" s="1">
        <v>42429</v>
      </c>
      <c r="B426">
        <v>125400.08</v>
      </c>
      <c r="C426">
        <v>41.258079010000003</v>
      </c>
      <c r="D426" s="2">
        <v>15</v>
      </c>
      <c r="E426" s="2">
        <v>23.7</v>
      </c>
      <c r="F426" s="2">
        <v>18.2</v>
      </c>
      <c r="G426" s="2">
        <v>0</v>
      </c>
      <c r="H426" s="2" t="str">
        <f>VLOOKUP(A426,Holidays!$A$2:$B$2107,2,1)</f>
        <v>Y</v>
      </c>
      <c r="I426" s="2" t="str">
        <f>VLOOKUP(A426,Holidays!$A$2:$C$2107,3,1)</f>
        <v>N</v>
      </c>
    </row>
    <row r="427" spans="1:9" x14ac:dyDescent="0.45">
      <c r="A427" s="1">
        <v>42430</v>
      </c>
      <c r="B427">
        <v>142242.595</v>
      </c>
      <c r="C427">
        <v>96.287619219999996</v>
      </c>
      <c r="D427" s="2">
        <v>17.3</v>
      </c>
      <c r="E427" s="2">
        <v>33.700000000000003</v>
      </c>
      <c r="F427" s="2">
        <v>23.4</v>
      </c>
      <c r="G427" s="2">
        <v>0</v>
      </c>
      <c r="H427" s="2" t="str">
        <f>VLOOKUP(A427,Holidays!$A$2:$B$2107,2,1)</f>
        <v>Y</v>
      </c>
      <c r="I427" s="2" t="str">
        <f>VLOOKUP(A427,Holidays!$A$2:$C$2107,3,1)</f>
        <v>N</v>
      </c>
    </row>
    <row r="428" spans="1:9" x14ac:dyDescent="0.45">
      <c r="A428" s="1">
        <v>42431</v>
      </c>
      <c r="B428">
        <v>145182.98000000001</v>
      </c>
      <c r="C428">
        <v>53.911071139999997</v>
      </c>
      <c r="D428" s="2">
        <v>17.600000000000001</v>
      </c>
      <c r="E428" s="2">
        <v>34.700000000000003</v>
      </c>
      <c r="F428" s="2">
        <v>22.6</v>
      </c>
      <c r="G428" s="2">
        <v>0</v>
      </c>
      <c r="H428" s="2" t="str">
        <f>VLOOKUP(A428,Holidays!$A$2:$B$2107,2,1)</f>
        <v>Y</v>
      </c>
      <c r="I428" s="2" t="str">
        <f>VLOOKUP(A428,Holidays!$A$2:$C$2107,3,1)</f>
        <v>N</v>
      </c>
    </row>
    <row r="429" spans="1:9" x14ac:dyDescent="0.45">
      <c r="A429" s="1">
        <v>42432</v>
      </c>
      <c r="B429">
        <v>136226.12</v>
      </c>
      <c r="C429">
        <v>49.552162510000002</v>
      </c>
      <c r="D429" s="2">
        <v>17.399999999999999</v>
      </c>
      <c r="E429" s="2">
        <v>23.9</v>
      </c>
      <c r="F429" s="2">
        <v>21.8</v>
      </c>
      <c r="G429" s="2">
        <v>0.2</v>
      </c>
      <c r="H429" s="2" t="str">
        <f>VLOOKUP(A429,Holidays!$A$2:$B$2107,2,1)</f>
        <v>Y</v>
      </c>
      <c r="I429" s="2" t="str">
        <f>VLOOKUP(A429,Holidays!$A$2:$C$2107,3,1)</f>
        <v>N</v>
      </c>
    </row>
    <row r="430" spans="1:9" x14ac:dyDescent="0.45">
      <c r="A430" s="1">
        <v>42433</v>
      </c>
      <c r="B430">
        <v>149376.57</v>
      </c>
      <c r="C430">
        <v>43.227417260000003</v>
      </c>
      <c r="D430" s="2">
        <v>16.5</v>
      </c>
      <c r="E430" s="2">
        <v>33</v>
      </c>
      <c r="F430" s="2">
        <v>21.2</v>
      </c>
      <c r="G430" s="2">
        <v>0.2</v>
      </c>
      <c r="H430" s="2" t="str">
        <f>VLOOKUP(A430,Holidays!$A$2:$B$2107,2,1)</f>
        <v>Y</v>
      </c>
      <c r="I430" s="2" t="str">
        <f>VLOOKUP(A430,Holidays!$A$2:$C$2107,3,1)</f>
        <v>N</v>
      </c>
    </row>
    <row r="431" spans="1:9" x14ac:dyDescent="0.45">
      <c r="A431" s="1">
        <v>42434</v>
      </c>
      <c r="B431">
        <v>124692.315</v>
      </c>
      <c r="C431">
        <v>37.425385800000001</v>
      </c>
      <c r="D431" s="2">
        <v>20.399999999999999</v>
      </c>
      <c r="E431" s="2">
        <v>23.7</v>
      </c>
      <c r="F431" s="2">
        <v>11.4</v>
      </c>
      <c r="G431" s="2">
        <v>1.2</v>
      </c>
      <c r="H431" s="2" t="str">
        <f>VLOOKUP(A431,Holidays!$A$2:$B$2107,2,1)</f>
        <v>Y</v>
      </c>
      <c r="I431" s="2" t="str">
        <f>VLOOKUP(A431,Holidays!$A$2:$C$2107,3,1)</f>
        <v>N</v>
      </c>
    </row>
    <row r="432" spans="1:9" x14ac:dyDescent="0.45">
      <c r="A432" s="1">
        <v>42435</v>
      </c>
      <c r="B432">
        <v>117707.95</v>
      </c>
      <c r="C432">
        <v>41.320647800000003</v>
      </c>
      <c r="D432" s="2">
        <v>17.399999999999999</v>
      </c>
      <c r="E432" s="2">
        <v>25.2</v>
      </c>
      <c r="F432" s="2">
        <v>21.3</v>
      </c>
      <c r="G432" s="2">
        <v>0</v>
      </c>
      <c r="H432" s="2" t="str">
        <f>VLOOKUP(A432,Holidays!$A$2:$B$2107,2,1)</f>
        <v>Y</v>
      </c>
      <c r="I432" s="2" t="str">
        <f>VLOOKUP(A432,Holidays!$A$2:$C$2107,3,1)</f>
        <v>N</v>
      </c>
    </row>
    <row r="433" spans="1:9" x14ac:dyDescent="0.45">
      <c r="A433" s="1">
        <v>42436</v>
      </c>
      <c r="B433">
        <v>131465.82500000001</v>
      </c>
      <c r="C433">
        <v>41.149502560000002</v>
      </c>
      <c r="D433" s="2">
        <v>18.600000000000001</v>
      </c>
      <c r="E433" s="2">
        <v>24.9</v>
      </c>
      <c r="F433" s="2">
        <v>7.9</v>
      </c>
      <c r="G433" s="2">
        <v>3.2</v>
      </c>
      <c r="H433" s="2" t="str">
        <f>VLOOKUP(A433,Holidays!$A$2:$B$2107,2,1)</f>
        <v>Y</v>
      </c>
      <c r="I433" s="2" t="str">
        <f>VLOOKUP(A433,Holidays!$A$2:$C$2107,3,1)</f>
        <v>N</v>
      </c>
    </row>
    <row r="434" spans="1:9" x14ac:dyDescent="0.45">
      <c r="A434" s="1">
        <v>42437</v>
      </c>
      <c r="B434">
        <v>160285.01500000001</v>
      </c>
      <c r="C434">
        <v>253.0320323</v>
      </c>
      <c r="D434" s="2">
        <v>19.899999999999999</v>
      </c>
      <c r="E434" s="2">
        <v>38.9</v>
      </c>
      <c r="F434" s="2">
        <v>20.8</v>
      </c>
      <c r="G434" s="2">
        <v>0.6</v>
      </c>
      <c r="H434" s="2" t="str">
        <f>VLOOKUP(A434,Holidays!$A$2:$B$2107,2,1)</f>
        <v>Y</v>
      </c>
      <c r="I434" s="2" t="str">
        <f>VLOOKUP(A434,Holidays!$A$2:$C$2107,3,1)</f>
        <v>N</v>
      </c>
    </row>
    <row r="435" spans="1:9" x14ac:dyDescent="0.45">
      <c r="A435" s="1">
        <v>42438</v>
      </c>
      <c r="B435">
        <v>152599.125</v>
      </c>
      <c r="C435">
        <v>66.411603389999996</v>
      </c>
      <c r="D435" s="2">
        <v>20.8</v>
      </c>
      <c r="E435" s="2">
        <v>28.5</v>
      </c>
      <c r="F435" s="2">
        <v>10.8</v>
      </c>
      <c r="G435" s="2">
        <v>0</v>
      </c>
      <c r="H435" s="2" t="str">
        <f>VLOOKUP(A435,Holidays!$A$2:$B$2107,2,1)</f>
        <v>Y</v>
      </c>
      <c r="I435" s="2" t="str">
        <f>VLOOKUP(A435,Holidays!$A$2:$C$2107,3,1)</f>
        <v>N</v>
      </c>
    </row>
    <row r="436" spans="1:9" x14ac:dyDescent="0.45">
      <c r="A436" s="1">
        <v>42439</v>
      </c>
      <c r="B436">
        <v>135635.70499999999</v>
      </c>
      <c r="C436">
        <v>46.521612349999998</v>
      </c>
      <c r="D436" s="2">
        <v>18.100000000000001</v>
      </c>
      <c r="E436" s="2">
        <v>22.1</v>
      </c>
      <c r="F436" s="2">
        <v>3.9</v>
      </c>
      <c r="G436" s="2">
        <v>0.6</v>
      </c>
      <c r="H436" s="2" t="str">
        <f>VLOOKUP(A436,Holidays!$A$2:$B$2107,2,1)</f>
        <v>Y</v>
      </c>
      <c r="I436" s="2" t="str">
        <f>VLOOKUP(A436,Holidays!$A$2:$C$2107,3,1)</f>
        <v>N</v>
      </c>
    </row>
    <row r="437" spans="1:9" x14ac:dyDescent="0.45">
      <c r="A437" s="1">
        <v>42440</v>
      </c>
      <c r="B437">
        <v>141414.35</v>
      </c>
      <c r="C437">
        <v>49.793533140000001</v>
      </c>
      <c r="D437" s="2">
        <v>18.8</v>
      </c>
      <c r="E437" s="2">
        <v>26.1</v>
      </c>
      <c r="F437" s="2">
        <v>19.600000000000001</v>
      </c>
      <c r="G437" s="2">
        <v>8.4</v>
      </c>
      <c r="H437" s="2" t="str">
        <f>VLOOKUP(A437,Holidays!$A$2:$B$2107,2,1)</f>
        <v>Y</v>
      </c>
      <c r="I437" s="2" t="str">
        <f>VLOOKUP(A437,Holidays!$A$2:$C$2107,3,1)</f>
        <v>N</v>
      </c>
    </row>
    <row r="438" spans="1:9" x14ac:dyDescent="0.45">
      <c r="A438" s="1">
        <v>42441</v>
      </c>
      <c r="B438">
        <v>119690.755</v>
      </c>
      <c r="C438">
        <v>37.321013860000001</v>
      </c>
      <c r="D438" s="2">
        <v>18.7</v>
      </c>
      <c r="E438" s="2">
        <v>22.3</v>
      </c>
      <c r="F438" s="2">
        <v>7</v>
      </c>
      <c r="G438" s="2">
        <v>0.2</v>
      </c>
      <c r="H438" s="2" t="str">
        <f>VLOOKUP(A438,Holidays!$A$2:$B$2107,2,1)</f>
        <v>Y</v>
      </c>
      <c r="I438" s="2" t="str">
        <f>VLOOKUP(A438,Holidays!$A$2:$C$2107,3,1)</f>
        <v>N</v>
      </c>
    </row>
    <row r="439" spans="1:9" x14ac:dyDescent="0.45">
      <c r="A439" s="1">
        <v>42442</v>
      </c>
      <c r="B439">
        <v>111329.62</v>
      </c>
      <c r="C439">
        <v>30.086962100000001</v>
      </c>
      <c r="D439" s="2">
        <v>17.7</v>
      </c>
      <c r="E439" s="2">
        <v>23.2</v>
      </c>
      <c r="F439" s="2">
        <v>13.8</v>
      </c>
      <c r="G439" s="2">
        <v>0</v>
      </c>
      <c r="H439" s="2" t="str">
        <f>VLOOKUP(A439,Holidays!$A$2:$B$2107,2,1)</f>
        <v>Y</v>
      </c>
      <c r="I439" s="2" t="str">
        <f>VLOOKUP(A439,Holidays!$A$2:$C$2107,3,1)</f>
        <v>N</v>
      </c>
    </row>
    <row r="440" spans="1:9" x14ac:dyDescent="0.45">
      <c r="A440" s="1">
        <v>42443</v>
      </c>
      <c r="B440">
        <v>105388.57</v>
      </c>
      <c r="C440">
        <v>24.794429990000001</v>
      </c>
      <c r="D440" s="2">
        <v>18.399999999999999</v>
      </c>
      <c r="E440" s="2">
        <v>21.3</v>
      </c>
      <c r="F440" s="2">
        <v>10.6</v>
      </c>
      <c r="G440" s="2">
        <v>0</v>
      </c>
      <c r="H440" s="2" t="str">
        <f>VLOOKUP(A440,Holidays!$A$2:$B$2107,2,1)</f>
        <v>Y</v>
      </c>
      <c r="I440" s="2" t="str">
        <f>VLOOKUP(A440,Holidays!$A$2:$C$2107,3,1)</f>
        <v>Y</v>
      </c>
    </row>
    <row r="441" spans="1:9" x14ac:dyDescent="0.45">
      <c r="A441" s="1">
        <v>42444</v>
      </c>
      <c r="B441">
        <v>123073.98</v>
      </c>
      <c r="C441">
        <v>28.46012769</v>
      </c>
      <c r="D441" s="2">
        <v>15.1</v>
      </c>
      <c r="E441" s="2">
        <v>26.8</v>
      </c>
      <c r="F441" s="2">
        <v>20.7</v>
      </c>
      <c r="G441" s="2">
        <v>0</v>
      </c>
      <c r="H441" s="2" t="str">
        <f>VLOOKUP(A441,Holidays!$A$2:$B$2107,2,1)</f>
        <v>Y</v>
      </c>
      <c r="I441" s="2" t="str">
        <f>VLOOKUP(A441,Holidays!$A$2:$C$2107,3,1)</f>
        <v>N</v>
      </c>
    </row>
    <row r="442" spans="1:9" x14ac:dyDescent="0.45">
      <c r="A442" s="1">
        <v>42445</v>
      </c>
      <c r="B442">
        <v>135047.625</v>
      </c>
      <c r="C442">
        <v>54.353055810000001</v>
      </c>
      <c r="D442" s="2">
        <v>15.3</v>
      </c>
      <c r="E442" s="2">
        <v>31.4</v>
      </c>
      <c r="F442" s="2">
        <v>18.899999999999999</v>
      </c>
      <c r="G442" s="2">
        <v>0</v>
      </c>
      <c r="H442" s="2" t="str">
        <f>VLOOKUP(A442,Holidays!$A$2:$B$2107,2,1)</f>
        <v>Y</v>
      </c>
      <c r="I442" s="2" t="str">
        <f>VLOOKUP(A442,Holidays!$A$2:$C$2107,3,1)</f>
        <v>N</v>
      </c>
    </row>
    <row r="443" spans="1:9" x14ac:dyDescent="0.45">
      <c r="A443" s="1">
        <v>42446</v>
      </c>
      <c r="B443">
        <v>143184.80499999999</v>
      </c>
      <c r="C443">
        <v>49.491101499999999</v>
      </c>
      <c r="D443" s="2">
        <v>18.3</v>
      </c>
      <c r="E443" s="2">
        <v>32.5</v>
      </c>
      <c r="F443" s="2">
        <v>19.600000000000001</v>
      </c>
      <c r="G443" s="2">
        <v>0</v>
      </c>
      <c r="H443" s="2" t="str">
        <f>VLOOKUP(A443,Holidays!$A$2:$B$2107,2,1)</f>
        <v>Y</v>
      </c>
      <c r="I443" s="2" t="str">
        <f>VLOOKUP(A443,Holidays!$A$2:$C$2107,3,1)</f>
        <v>N</v>
      </c>
    </row>
    <row r="444" spans="1:9" x14ac:dyDescent="0.45">
      <c r="A444" s="1">
        <v>42447</v>
      </c>
      <c r="B444">
        <v>118189.72</v>
      </c>
      <c r="C444">
        <v>33.972023620000002</v>
      </c>
      <c r="D444" s="2">
        <v>15.2</v>
      </c>
      <c r="E444" s="2">
        <v>19.5</v>
      </c>
      <c r="F444" s="2">
        <v>6.7</v>
      </c>
      <c r="G444" s="2">
        <v>13.4</v>
      </c>
      <c r="H444" s="2" t="str">
        <f>VLOOKUP(A444,Holidays!$A$2:$B$2107,2,1)</f>
        <v>Y</v>
      </c>
      <c r="I444" s="2" t="str">
        <f>VLOOKUP(A444,Holidays!$A$2:$C$2107,3,1)</f>
        <v>N</v>
      </c>
    </row>
    <row r="445" spans="1:9" x14ac:dyDescent="0.45">
      <c r="A445" s="1">
        <v>42448</v>
      </c>
      <c r="B445">
        <v>105484.1</v>
      </c>
      <c r="C445">
        <v>48.717489980000003</v>
      </c>
      <c r="D445" s="2">
        <v>12</v>
      </c>
      <c r="E445" s="2">
        <v>18.8</v>
      </c>
      <c r="F445" s="2">
        <v>10.7</v>
      </c>
      <c r="G445" s="2">
        <v>5.8</v>
      </c>
      <c r="H445" s="2" t="str">
        <f>VLOOKUP(A445,Holidays!$A$2:$B$2107,2,1)</f>
        <v>Y</v>
      </c>
      <c r="I445" s="2" t="str">
        <f>VLOOKUP(A445,Holidays!$A$2:$C$2107,3,1)</f>
        <v>N</v>
      </c>
    </row>
    <row r="446" spans="1:9" x14ac:dyDescent="0.45">
      <c r="A446" s="1">
        <v>42449</v>
      </c>
      <c r="B446">
        <v>100394.06</v>
      </c>
      <c r="C446">
        <v>47.175064120000002</v>
      </c>
      <c r="D446" s="2">
        <v>10.1</v>
      </c>
      <c r="E446" s="2">
        <v>23.3</v>
      </c>
      <c r="F446" s="2">
        <v>19</v>
      </c>
      <c r="G446" s="2">
        <v>0.2</v>
      </c>
      <c r="H446" s="2" t="str">
        <f>VLOOKUP(A446,Holidays!$A$2:$B$2107,2,1)</f>
        <v>Y</v>
      </c>
      <c r="I446" s="2" t="str">
        <f>VLOOKUP(A446,Holidays!$A$2:$C$2107,3,1)</f>
        <v>N</v>
      </c>
    </row>
    <row r="447" spans="1:9" x14ac:dyDescent="0.45">
      <c r="A447" s="1">
        <v>42450</v>
      </c>
      <c r="B447">
        <v>117796.715</v>
      </c>
      <c r="C447">
        <v>49.676549350000002</v>
      </c>
      <c r="D447" s="2">
        <v>11.2</v>
      </c>
      <c r="E447" s="2">
        <v>23.5</v>
      </c>
      <c r="F447" s="2">
        <v>19.7</v>
      </c>
      <c r="G447" s="2">
        <v>0</v>
      </c>
      <c r="H447" s="2" t="str">
        <f>VLOOKUP(A447,Holidays!$A$2:$B$2107,2,1)</f>
        <v>Y</v>
      </c>
      <c r="I447" s="2" t="str">
        <f>VLOOKUP(A447,Holidays!$A$2:$C$2107,3,1)</f>
        <v>N</v>
      </c>
    </row>
    <row r="448" spans="1:9" x14ac:dyDescent="0.45">
      <c r="A448" s="1">
        <v>42451</v>
      </c>
      <c r="B448">
        <v>124081.46</v>
      </c>
      <c r="C448">
        <v>56.872748209999997</v>
      </c>
      <c r="D448" s="2">
        <v>11.4</v>
      </c>
      <c r="E448" s="2">
        <v>24.3</v>
      </c>
      <c r="F448" s="2">
        <v>21.1</v>
      </c>
      <c r="G448" s="2">
        <v>0</v>
      </c>
      <c r="H448" s="2" t="str">
        <f>VLOOKUP(A448,Holidays!$A$2:$B$2107,2,1)</f>
        <v>Y</v>
      </c>
      <c r="I448" s="2" t="str">
        <f>VLOOKUP(A448,Holidays!$A$2:$C$2107,3,1)</f>
        <v>N</v>
      </c>
    </row>
    <row r="449" spans="1:9" x14ac:dyDescent="0.45">
      <c r="A449" s="1">
        <v>42452</v>
      </c>
      <c r="B449">
        <v>126074.895</v>
      </c>
      <c r="C449">
        <v>44.262191379999997</v>
      </c>
      <c r="D449" s="2">
        <v>13.7</v>
      </c>
      <c r="E449" s="2">
        <v>28.8</v>
      </c>
      <c r="F449" s="2">
        <v>12.7</v>
      </c>
      <c r="G449" s="2">
        <v>0</v>
      </c>
      <c r="H449" s="2" t="str">
        <f>VLOOKUP(A449,Holidays!$A$2:$B$2107,2,1)</f>
        <v>Y</v>
      </c>
      <c r="I449" s="2" t="str">
        <f>VLOOKUP(A449,Holidays!$A$2:$C$2107,3,1)</f>
        <v>N</v>
      </c>
    </row>
    <row r="450" spans="1:9" x14ac:dyDescent="0.45">
      <c r="A450" s="1">
        <v>42453</v>
      </c>
      <c r="B450">
        <v>125072.73</v>
      </c>
      <c r="C450">
        <v>42.354944320000001</v>
      </c>
      <c r="D450" s="2">
        <v>16.3</v>
      </c>
      <c r="E450" s="2">
        <v>21.2</v>
      </c>
      <c r="F450" s="2">
        <v>10.4</v>
      </c>
      <c r="G450" s="2">
        <v>0</v>
      </c>
      <c r="H450" s="2" t="str">
        <f>VLOOKUP(A450,Holidays!$A$2:$B$2107,2,1)</f>
        <v>N</v>
      </c>
      <c r="I450" s="2" t="str">
        <f>VLOOKUP(A450,Holidays!$A$2:$C$2107,3,1)</f>
        <v>N</v>
      </c>
    </row>
    <row r="451" spans="1:9" x14ac:dyDescent="0.45">
      <c r="A451" s="1">
        <v>42454</v>
      </c>
      <c r="B451">
        <v>101740.89</v>
      </c>
      <c r="C451">
        <v>30.221855479999999</v>
      </c>
      <c r="D451" s="2">
        <v>15.9</v>
      </c>
      <c r="E451" s="2">
        <v>20.399999999999999</v>
      </c>
      <c r="F451" s="2">
        <v>14.4</v>
      </c>
      <c r="G451" s="2">
        <v>0</v>
      </c>
      <c r="H451" s="2" t="str">
        <f>VLOOKUP(A451,Holidays!$A$2:$B$2107,2,1)</f>
        <v>N</v>
      </c>
      <c r="I451" s="2" t="str">
        <f>VLOOKUP(A451,Holidays!$A$2:$C$2107,3,1)</f>
        <v>Y</v>
      </c>
    </row>
    <row r="452" spans="1:9" x14ac:dyDescent="0.45">
      <c r="A452" s="1">
        <v>42455</v>
      </c>
      <c r="B452">
        <v>102726.745</v>
      </c>
      <c r="C452">
        <v>30.539497430000001</v>
      </c>
      <c r="D452" s="2">
        <v>14.1</v>
      </c>
      <c r="E452" s="2">
        <v>20.2</v>
      </c>
      <c r="F452" s="2">
        <v>8.1999999999999993</v>
      </c>
      <c r="G452" s="2">
        <v>0.4</v>
      </c>
      <c r="H452" s="2" t="str">
        <f>VLOOKUP(A452,Holidays!$A$2:$B$2107,2,1)</f>
        <v>N</v>
      </c>
      <c r="I452" s="2" t="str">
        <f>VLOOKUP(A452,Holidays!$A$2:$C$2107,3,1)</f>
        <v>Y</v>
      </c>
    </row>
    <row r="453" spans="1:9" x14ac:dyDescent="0.45">
      <c r="A453" s="1">
        <v>42456</v>
      </c>
      <c r="B453">
        <v>98324.645000000004</v>
      </c>
      <c r="C453">
        <v>25.861035210000001</v>
      </c>
      <c r="D453" s="2">
        <v>14.3</v>
      </c>
      <c r="E453" s="2">
        <v>19.899999999999999</v>
      </c>
      <c r="F453" s="2">
        <v>14</v>
      </c>
      <c r="G453" s="2">
        <v>1</v>
      </c>
      <c r="H453" s="2" t="str">
        <f>VLOOKUP(A453,Holidays!$A$2:$B$2107,2,1)</f>
        <v>N</v>
      </c>
      <c r="I453" s="2" t="str">
        <f>VLOOKUP(A453,Holidays!$A$2:$C$2107,3,1)</f>
        <v>Y</v>
      </c>
    </row>
    <row r="454" spans="1:9" x14ac:dyDescent="0.45">
      <c r="A454" s="1">
        <v>42457</v>
      </c>
      <c r="B454">
        <v>102746.6</v>
      </c>
      <c r="C454">
        <v>27.58617697</v>
      </c>
      <c r="D454" s="2">
        <v>9.4</v>
      </c>
      <c r="E454" s="2">
        <v>19.2</v>
      </c>
      <c r="F454" s="2">
        <v>13</v>
      </c>
      <c r="G454" s="2">
        <v>0.2</v>
      </c>
      <c r="H454" s="2" t="str">
        <f>VLOOKUP(A454,Holidays!$A$2:$B$2107,2,1)</f>
        <v>N</v>
      </c>
      <c r="I454" s="2" t="str">
        <f>VLOOKUP(A454,Holidays!$A$2:$C$2107,3,1)</f>
        <v>Y</v>
      </c>
    </row>
    <row r="455" spans="1:9" x14ac:dyDescent="0.45">
      <c r="A455" s="1">
        <v>42458</v>
      </c>
      <c r="B455">
        <v>118281.13</v>
      </c>
      <c r="C455">
        <v>31.070951350000001</v>
      </c>
      <c r="D455" s="2">
        <v>14.5</v>
      </c>
      <c r="E455" s="2">
        <v>17.899999999999999</v>
      </c>
      <c r="F455" s="2">
        <v>5.7</v>
      </c>
      <c r="G455" s="2">
        <v>0</v>
      </c>
      <c r="H455" s="2" t="str">
        <f>VLOOKUP(A455,Holidays!$A$2:$B$2107,2,1)</f>
        <v>N</v>
      </c>
      <c r="I455" s="2" t="str">
        <f>VLOOKUP(A455,Holidays!$A$2:$C$2107,3,1)</f>
        <v>N</v>
      </c>
    </row>
    <row r="456" spans="1:9" x14ac:dyDescent="0.45">
      <c r="A456" s="1">
        <v>42459</v>
      </c>
      <c r="B456">
        <v>122625.21</v>
      </c>
      <c r="C456">
        <v>29.062513819999999</v>
      </c>
      <c r="D456" s="2">
        <v>15.5</v>
      </c>
      <c r="E456" s="2">
        <v>18.7</v>
      </c>
      <c r="F456" s="2">
        <v>8.5</v>
      </c>
      <c r="G456" s="2">
        <v>0</v>
      </c>
      <c r="H456" s="2" t="str">
        <f>VLOOKUP(A456,Holidays!$A$2:$B$2107,2,1)</f>
        <v>N</v>
      </c>
      <c r="I456" s="2" t="str">
        <f>VLOOKUP(A456,Holidays!$A$2:$C$2107,3,1)</f>
        <v>N</v>
      </c>
    </row>
    <row r="457" spans="1:9" x14ac:dyDescent="0.45">
      <c r="A457" s="1">
        <v>42460</v>
      </c>
      <c r="B457">
        <v>122964.715</v>
      </c>
      <c r="C457">
        <v>21.90202897</v>
      </c>
      <c r="D457" s="2">
        <v>11.3</v>
      </c>
      <c r="E457" s="2">
        <v>22.7</v>
      </c>
      <c r="F457" s="2">
        <v>17.100000000000001</v>
      </c>
      <c r="G457" s="2">
        <v>0</v>
      </c>
      <c r="H457" s="2" t="str">
        <f>VLOOKUP(A457,Holidays!$A$2:$B$2107,2,1)</f>
        <v>N</v>
      </c>
      <c r="I457" s="2" t="str">
        <f>VLOOKUP(A457,Holidays!$A$2:$C$2107,3,1)</f>
        <v>N</v>
      </c>
    </row>
    <row r="458" spans="1:9" x14ac:dyDescent="0.45">
      <c r="A458" s="1">
        <v>42461</v>
      </c>
      <c r="B458">
        <v>116321.60000000001</v>
      </c>
      <c r="C458">
        <v>14.49079665</v>
      </c>
      <c r="D458" s="2">
        <v>13.1</v>
      </c>
      <c r="E458" s="2">
        <v>26.5</v>
      </c>
      <c r="F458" s="2">
        <v>16.7</v>
      </c>
      <c r="G458" s="2">
        <v>0</v>
      </c>
      <c r="H458" s="2" t="str">
        <f>VLOOKUP(A458,Holidays!$A$2:$B$2107,2,1)</f>
        <v>N</v>
      </c>
      <c r="I458" s="2" t="str">
        <f>VLOOKUP(A458,Holidays!$A$2:$C$2107,3,1)</f>
        <v>N</v>
      </c>
    </row>
    <row r="459" spans="1:9" x14ac:dyDescent="0.45">
      <c r="A459" s="1">
        <v>42462</v>
      </c>
      <c r="B459">
        <v>102832.72</v>
      </c>
      <c r="C459">
        <v>13.56898646</v>
      </c>
      <c r="D459" s="2">
        <v>15.5</v>
      </c>
      <c r="E459" s="2">
        <v>19.5</v>
      </c>
      <c r="F459" s="2">
        <v>8.3000000000000007</v>
      </c>
      <c r="G459" s="2">
        <v>0</v>
      </c>
      <c r="H459" s="2" t="str">
        <f>VLOOKUP(A459,Holidays!$A$2:$B$2107,2,1)</f>
        <v>N</v>
      </c>
      <c r="I459" s="2" t="str">
        <f>VLOOKUP(A459,Holidays!$A$2:$C$2107,3,1)</f>
        <v>N</v>
      </c>
    </row>
    <row r="460" spans="1:9" x14ac:dyDescent="0.45">
      <c r="A460" s="1">
        <v>42463</v>
      </c>
      <c r="B460">
        <v>102084</v>
      </c>
      <c r="C460">
        <v>15.80399954</v>
      </c>
      <c r="D460" s="2">
        <v>11.3</v>
      </c>
      <c r="E460" s="2">
        <v>18.8</v>
      </c>
      <c r="F460" s="2">
        <v>15.4</v>
      </c>
      <c r="G460" s="2">
        <v>0</v>
      </c>
      <c r="H460" s="2" t="str">
        <f>VLOOKUP(A460,Holidays!$A$2:$B$2107,2,1)</f>
        <v>N</v>
      </c>
      <c r="I460" s="2" t="str">
        <f>VLOOKUP(A460,Holidays!$A$2:$C$2107,3,1)</f>
        <v>N</v>
      </c>
    </row>
    <row r="461" spans="1:9" x14ac:dyDescent="0.45">
      <c r="A461" s="1">
        <v>42464</v>
      </c>
      <c r="B461">
        <v>120445.735</v>
      </c>
      <c r="C461">
        <v>38.468550309999998</v>
      </c>
      <c r="D461" s="2">
        <v>9.6999999999999993</v>
      </c>
      <c r="E461" s="2">
        <v>21.2</v>
      </c>
      <c r="F461" s="2">
        <v>18.399999999999999</v>
      </c>
      <c r="G461" s="2">
        <v>0</v>
      </c>
      <c r="H461" s="2" t="str">
        <f>VLOOKUP(A461,Holidays!$A$2:$B$2107,2,1)</f>
        <v>N</v>
      </c>
      <c r="I461" s="2" t="str">
        <f>VLOOKUP(A461,Holidays!$A$2:$C$2107,3,1)</f>
        <v>N</v>
      </c>
    </row>
    <row r="462" spans="1:9" x14ac:dyDescent="0.45">
      <c r="A462" s="1">
        <v>42465</v>
      </c>
      <c r="B462">
        <v>120371.235</v>
      </c>
      <c r="C462">
        <v>21.423208150000001</v>
      </c>
      <c r="D462" s="2">
        <v>12.3</v>
      </c>
      <c r="E462" s="2">
        <v>29</v>
      </c>
      <c r="F462" s="2">
        <v>17.100000000000001</v>
      </c>
      <c r="G462" s="2">
        <v>0</v>
      </c>
      <c r="H462" s="2" t="str">
        <f>VLOOKUP(A462,Holidays!$A$2:$B$2107,2,1)</f>
        <v>N</v>
      </c>
      <c r="I462" s="2" t="str">
        <f>VLOOKUP(A462,Holidays!$A$2:$C$2107,3,1)</f>
        <v>N</v>
      </c>
    </row>
    <row r="463" spans="1:9" x14ac:dyDescent="0.45">
      <c r="A463" s="1">
        <v>42466</v>
      </c>
      <c r="B463">
        <v>125657.125</v>
      </c>
      <c r="C463">
        <v>45.520804550000001</v>
      </c>
      <c r="D463" s="2">
        <v>13.6</v>
      </c>
      <c r="E463" s="2">
        <v>15.6</v>
      </c>
      <c r="F463" s="2">
        <v>3.9</v>
      </c>
      <c r="G463" s="2">
        <v>12.8</v>
      </c>
      <c r="H463" s="2" t="str">
        <f>VLOOKUP(A463,Holidays!$A$2:$B$2107,2,1)</f>
        <v>N</v>
      </c>
      <c r="I463" s="2" t="str">
        <f>VLOOKUP(A463,Holidays!$A$2:$C$2107,3,1)</f>
        <v>N</v>
      </c>
    </row>
    <row r="464" spans="1:9" x14ac:dyDescent="0.45">
      <c r="A464" s="1">
        <v>42467</v>
      </c>
      <c r="B464">
        <v>125663.33</v>
      </c>
      <c r="C464">
        <v>52.131968520000001</v>
      </c>
      <c r="D464" s="2">
        <v>8.3000000000000007</v>
      </c>
      <c r="E464" s="2">
        <v>18.399999999999999</v>
      </c>
      <c r="F464" s="2">
        <v>13.1</v>
      </c>
      <c r="G464" s="2">
        <v>6.8</v>
      </c>
      <c r="H464" s="2" t="str">
        <f>VLOOKUP(A464,Holidays!$A$2:$B$2107,2,1)</f>
        <v>N</v>
      </c>
      <c r="I464" s="2" t="str">
        <f>VLOOKUP(A464,Holidays!$A$2:$C$2107,3,1)</f>
        <v>N</v>
      </c>
    </row>
    <row r="465" spans="1:9" x14ac:dyDescent="0.45">
      <c r="A465" s="1">
        <v>42468</v>
      </c>
      <c r="B465">
        <v>124266.88499999999</v>
      </c>
      <c r="C465">
        <v>75.357810740000005</v>
      </c>
      <c r="D465" s="2">
        <v>11.9</v>
      </c>
      <c r="E465" s="2">
        <v>20</v>
      </c>
      <c r="F465" s="2">
        <v>9.6</v>
      </c>
      <c r="G465" s="2">
        <v>0</v>
      </c>
      <c r="H465" s="2" t="str">
        <f>VLOOKUP(A465,Holidays!$A$2:$B$2107,2,1)</f>
        <v>N</v>
      </c>
      <c r="I465" s="2" t="str">
        <f>VLOOKUP(A465,Holidays!$A$2:$C$2107,3,1)</f>
        <v>N</v>
      </c>
    </row>
    <row r="466" spans="1:9" x14ac:dyDescent="0.45">
      <c r="A466" s="1">
        <v>42469</v>
      </c>
      <c r="B466">
        <v>109044.9</v>
      </c>
      <c r="C466">
        <v>73.139144529999996</v>
      </c>
      <c r="D466" s="2">
        <v>10.4</v>
      </c>
      <c r="E466" s="2">
        <v>22.3</v>
      </c>
      <c r="F466" s="2">
        <v>13</v>
      </c>
      <c r="G466" s="2">
        <v>0</v>
      </c>
      <c r="H466" s="2" t="str">
        <f>VLOOKUP(A466,Holidays!$A$2:$B$2107,2,1)</f>
        <v>N</v>
      </c>
      <c r="I466" s="2" t="str">
        <f>VLOOKUP(A466,Holidays!$A$2:$C$2107,3,1)</f>
        <v>N</v>
      </c>
    </row>
    <row r="467" spans="1:9" x14ac:dyDescent="0.45">
      <c r="A467" s="1">
        <v>42470</v>
      </c>
      <c r="B467">
        <v>99845.345000000001</v>
      </c>
      <c r="C467">
        <v>35.120545749999998</v>
      </c>
      <c r="D467" s="2">
        <v>13.6</v>
      </c>
      <c r="E467" s="2">
        <v>23.5</v>
      </c>
      <c r="F467" s="2">
        <v>9.6</v>
      </c>
      <c r="G467" s="2">
        <v>0</v>
      </c>
      <c r="H467" s="2" t="str">
        <f>VLOOKUP(A467,Holidays!$A$2:$B$2107,2,1)</f>
        <v>N</v>
      </c>
      <c r="I467" s="2" t="str">
        <f>VLOOKUP(A467,Holidays!$A$2:$C$2107,3,1)</f>
        <v>N</v>
      </c>
    </row>
    <row r="468" spans="1:9" x14ac:dyDescent="0.45">
      <c r="A468" s="1">
        <v>42471</v>
      </c>
      <c r="B468">
        <v>118614.005</v>
      </c>
      <c r="C468">
        <v>62.306510809999999</v>
      </c>
      <c r="D468" s="2">
        <v>14.5</v>
      </c>
      <c r="E468" s="2">
        <v>20.100000000000001</v>
      </c>
      <c r="F468" s="2">
        <v>14.1</v>
      </c>
      <c r="G468" s="2">
        <v>0</v>
      </c>
      <c r="H468" s="2" t="str">
        <f>VLOOKUP(A468,Holidays!$A$2:$B$2107,2,1)</f>
        <v>N</v>
      </c>
      <c r="I468" s="2" t="str">
        <f>VLOOKUP(A468,Holidays!$A$2:$C$2107,3,1)</f>
        <v>N</v>
      </c>
    </row>
    <row r="469" spans="1:9" x14ac:dyDescent="0.45">
      <c r="A469" s="1">
        <v>42472</v>
      </c>
      <c r="B469">
        <v>123808.76</v>
      </c>
      <c r="C469">
        <v>62.964552500000003</v>
      </c>
      <c r="D469" s="2">
        <v>14</v>
      </c>
      <c r="E469" s="2">
        <v>18.7</v>
      </c>
      <c r="F469" s="2">
        <v>13.5</v>
      </c>
      <c r="G469" s="2">
        <v>0.2</v>
      </c>
      <c r="H469" s="2" t="str">
        <f>VLOOKUP(A469,Holidays!$A$2:$B$2107,2,1)</f>
        <v>Y</v>
      </c>
      <c r="I469" s="2" t="str">
        <f>VLOOKUP(A469,Holidays!$A$2:$C$2107,3,1)</f>
        <v>N</v>
      </c>
    </row>
    <row r="470" spans="1:9" x14ac:dyDescent="0.45">
      <c r="A470" s="1">
        <v>42473</v>
      </c>
      <c r="B470">
        <v>124686.63</v>
      </c>
      <c r="C470">
        <v>77.21022318</v>
      </c>
      <c r="D470" s="2">
        <v>11.3</v>
      </c>
      <c r="E470" s="2">
        <v>20</v>
      </c>
      <c r="F470" s="2">
        <v>12.6</v>
      </c>
      <c r="G470" s="2">
        <v>0.2</v>
      </c>
      <c r="H470" s="2" t="str">
        <f>VLOOKUP(A470,Holidays!$A$2:$B$2107,2,1)</f>
        <v>Y</v>
      </c>
      <c r="I470" s="2" t="str">
        <f>VLOOKUP(A470,Holidays!$A$2:$C$2107,3,1)</f>
        <v>N</v>
      </c>
    </row>
    <row r="471" spans="1:9" x14ac:dyDescent="0.45">
      <c r="A471" s="1">
        <v>42474</v>
      </c>
      <c r="B471">
        <v>126519.065</v>
      </c>
      <c r="C471">
        <v>92.925207040000004</v>
      </c>
      <c r="D471" s="2">
        <v>11.6</v>
      </c>
      <c r="E471" s="2">
        <v>27</v>
      </c>
      <c r="F471" s="2">
        <v>12.7</v>
      </c>
      <c r="G471" s="2">
        <v>0</v>
      </c>
      <c r="H471" s="2" t="str">
        <f>VLOOKUP(A471,Holidays!$A$2:$B$2107,2,1)</f>
        <v>Y</v>
      </c>
      <c r="I471" s="2" t="str">
        <f>VLOOKUP(A471,Holidays!$A$2:$C$2107,3,1)</f>
        <v>N</v>
      </c>
    </row>
    <row r="472" spans="1:9" x14ac:dyDescent="0.45">
      <c r="A472" s="1">
        <v>42475</v>
      </c>
      <c r="B472">
        <v>124721.485</v>
      </c>
      <c r="C472">
        <v>81.717847939999999</v>
      </c>
      <c r="D472" s="2">
        <v>13.4</v>
      </c>
      <c r="E472" s="2">
        <v>27</v>
      </c>
      <c r="F472" s="2">
        <v>15.9</v>
      </c>
      <c r="G472" s="2">
        <v>0</v>
      </c>
      <c r="H472" s="2" t="str">
        <f>VLOOKUP(A472,Holidays!$A$2:$B$2107,2,1)</f>
        <v>Y</v>
      </c>
      <c r="I472" s="2" t="str">
        <f>VLOOKUP(A472,Holidays!$A$2:$C$2107,3,1)</f>
        <v>N</v>
      </c>
    </row>
    <row r="473" spans="1:9" x14ac:dyDescent="0.45">
      <c r="A473" s="1">
        <v>42476</v>
      </c>
      <c r="B473">
        <v>108525.965</v>
      </c>
      <c r="C473">
        <v>51.528968560000003</v>
      </c>
      <c r="D473" s="2">
        <v>14</v>
      </c>
      <c r="E473" s="2">
        <v>20.3</v>
      </c>
      <c r="F473" s="2">
        <v>8.3000000000000007</v>
      </c>
      <c r="G473" s="2">
        <v>0</v>
      </c>
      <c r="H473" s="2" t="str">
        <f>VLOOKUP(A473,Holidays!$A$2:$B$2107,2,1)</f>
        <v>Y</v>
      </c>
      <c r="I473" s="2" t="str">
        <f>VLOOKUP(A473,Holidays!$A$2:$C$2107,3,1)</f>
        <v>N</v>
      </c>
    </row>
    <row r="474" spans="1:9" x14ac:dyDescent="0.45">
      <c r="A474" s="1">
        <v>42477</v>
      </c>
      <c r="B474">
        <v>100526.30499999999</v>
      </c>
      <c r="C474">
        <v>39.129443080000001</v>
      </c>
      <c r="D474" s="2">
        <v>13.1</v>
      </c>
      <c r="E474" s="2">
        <v>19.8</v>
      </c>
      <c r="F474" s="2">
        <v>14.7</v>
      </c>
      <c r="G474" s="2">
        <v>0</v>
      </c>
      <c r="H474" s="2" t="str">
        <f>VLOOKUP(A474,Holidays!$A$2:$B$2107,2,1)</f>
        <v>Y</v>
      </c>
      <c r="I474" s="2" t="str">
        <f>VLOOKUP(A474,Holidays!$A$2:$C$2107,3,1)</f>
        <v>N</v>
      </c>
    </row>
    <row r="475" spans="1:9" x14ac:dyDescent="0.45">
      <c r="A475" s="1">
        <v>42478</v>
      </c>
      <c r="B475">
        <v>123441.82</v>
      </c>
      <c r="C475">
        <v>61.629114919999999</v>
      </c>
      <c r="D475" s="2">
        <v>9.8000000000000007</v>
      </c>
      <c r="E475" s="2">
        <v>25</v>
      </c>
      <c r="F475" s="2">
        <v>15</v>
      </c>
      <c r="G475" s="2">
        <v>0</v>
      </c>
      <c r="H475" s="2" t="str">
        <f>VLOOKUP(A475,Holidays!$A$2:$B$2107,2,1)</f>
        <v>Y</v>
      </c>
      <c r="I475" s="2" t="str">
        <f>VLOOKUP(A475,Holidays!$A$2:$C$2107,3,1)</f>
        <v>N</v>
      </c>
    </row>
    <row r="476" spans="1:9" x14ac:dyDescent="0.45">
      <c r="A476" s="1">
        <v>42479</v>
      </c>
      <c r="B476">
        <v>126846.44500000001</v>
      </c>
      <c r="C476">
        <v>54.57119179</v>
      </c>
      <c r="D476" s="2">
        <v>13.6</v>
      </c>
      <c r="E476" s="2">
        <v>27.4</v>
      </c>
      <c r="F476" s="2">
        <v>14.5</v>
      </c>
      <c r="G476" s="2">
        <v>0</v>
      </c>
      <c r="H476" s="2" t="str">
        <f>VLOOKUP(A476,Holidays!$A$2:$B$2107,2,1)</f>
        <v>Y</v>
      </c>
      <c r="I476" s="2" t="str">
        <f>VLOOKUP(A476,Holidays!$A$2:$C$2107,3,1)</f>
        <v>N</v>
      </c>
    </row>
    <row r="477" spans="1:9" x14ac:dyDescent="0.45">
      <c r="A477" s="1">
        <v>42480</v>
      </c>
      <c r="B477">
        <v>125204.785</v>
      </c>
      <c r="C477">
        <v>40.053662299999999</v>
      </c>
      <c r="D477" s="2">
        <v>15.3</v>
      </c>
      <c r="E477" s="2">
        <v>28</v>
      </c>
      <c r="F477" s="2">
        <v>14</v>
      </c>
      <c r="G477" s="2">
        <v>0</v>
      </c>
      <c r="H477" s="2" t="str">
        <f>VLOOKUP(A477,Holidays!$A$2:$B$2107,2,1)</f>
        <v>Y</v>
      </c>
      <c r="I477" s="2" t="str">
        <f>VLOOKUP(A477,Holidays!$A$2:$C$2107,3,1)</f>
        <v>N</v>
      </c>
    </row>
    <row r="478" spans="1:9" x14ac:dyDescent="0.45">
      <c r="A478" s="1">
        <v>42481</v>
      </c>
      <c r="B478">
        <v>125514.14</v>
      </c>
      <c r="C478">
        <v>55.740468579999998</v>
      </c>
      <c r="D478" s="2">
        <v>17.100000000000001</v>
      </c>
      <c r="E478" s="2">
        <v>24.2</v>
      </c>
      <c r="F478" s="2">
        <v>5.6</v>
      </c>
      <c r="G478" s="2">
        <v>0.4</v>
      </c>
      <c r="H478" s="2" t="str">
        <f>VLOOKUP(A478,Holidays!$A$2:$B$2107,2,1)</f>
        <v>Y</v>
      </c>
      <c r="I478" s="2" t="str">
        <f>VLOOKUP(A478,Holidays!$A$2:$C$2107,3,1)</f>
        <v>N</v>
      </c>
    </row>
    <row r="479" spans="1:9" x14ac:dyDescent="0.45">
      <c r="A479" s="1">
        <v>42482</v>
      </c>
      <c r="B479">
        <v>120124.30499999999</v>
      </c>
      <c r="C479">
        <v>52.296555179999999</v>
      </c>
      <c r="D479" s="2">
        <v>14.6</v>
      </c>
      <c r="E479" s="2">
        <v>16.7</v>
      </c>
      <c r="F479" s="2">
        <v>7.9</v>
      </c>
      <c r="G479" s="2">
        <v>21.6</v>
      </c>
      <c r="H479" s="2" t="str">
        <f>VLOOKUP(A479,Holidays!$A$2:$B$2107,2,1)</f>
        <v>Y</v>
      </c>
      <c r="I479" s="2" t="str">
        <f>VLOOKUP(A479,Holidays!$A$2:$C$2107,3,1)</f>
        <v>N</v>
      </c>
    </row>
    <row r="480" spans="1:9" x14ac:dyDescent="0.45">
      <c r="A480" s="1">
        <v>42483</v>
      </c>
      <c r="B480">
        <v>108773.745</v>
      </c>
      <c r="C480">
        <v>36.734526199999998</v>
      </c>
      <c r="D480" s="2">
        <v>12.3</v>
      </c>
      <c r="E480" s="2">
        <v>18.600000000000001</v>
      </c>
      <c r="F480" s="2">
        <v>8.5</v>
      </c>
      <c r="G480" s="2">
        <v>0</v>
      </c>
      <c r="H480" s="2" t="str">
        <f>VLOOKUP(A480,Holidays!$A$2:$B$2107,2,1)</f>
        <v>Y</v>
      </c>
      <c r="I480" s="2" t="str">
        <f>VLOOKUP(A480,Holidays!$A$2:$C$2107,3,1)</f>
        <v>N</v>
      </c>
    </row>
    <row r="481" spans="1:9" x14ac:dyDescent="0.45">
      <c r="A481" s="1">
        <v>42484</v>
      </c>
      <c r="B481">
        <v>105642.28</v>
      </c>
      <c r="C481">
        <v>30.68045485</v>
      </c>
      <c r="D481" s="2">
        <v>9.1</v>
      </c>
      <c r="E481" s="2">
        <v>20</v>
      </c>
      <c r="F481" s="2">
        <v>14.8</v>
      </c>
      <c r="G481" s="2">
        <v>0</v>
      </c>
      <c r="H481" s="2" t="str">
        <f>VLOOKUP(A481,Holidays!$A$2:$B$2107,2,1)</f>
        <v>Y</v>
      </c>
      <c r="I481" s="2" t="str">
        <f>VLOOKUP(A481,Holidays!$A$2:$C$2107,3,1)</f>
        <v>N</v>
      </c>
    </row>
    <row r="482" spans="1:9" x14ac:dyDescent="0.45">
      <c r="A482" s="1">
        <v>42485</v>
      </c>
      <c r="B482">
        <v>104072.435</v>
      </c>
      <c r="C482">
        <v>39.087861220000001</v>
      </c>
      <c r="D482" s="2">
        <v>9.9</v>
      </c>
      <c r="E482" s="2">
        <v>25</v>
      </c>
      <c r="F482" s="2">
        <v>14.8</v>
      </c>
      <c r="G482" s="2">
        <v>0</v>
      </c>
      <c r="H482" s="2" t="str">
        <f>VLOOKUP(A482,Holidays!$A$2:$B$2107,2,1)</f>
        <v>Y</v>
      </c>
      <c r="I482" s="2" t="str">
        <f>VLOOKUP(A482,Holidays!$A$2:$C$2107,3,1)</f>
        <v>Y</v>
      </c>
    </row>
    <row r="483" spans="1:9" x14ac:dyDescent="0.45">
      <c r="A483" s="1">
        <v>42486</v>
      </c>
      <c r="B483">
        <v>117437.66499999999</v>
      </c>
      <c r="C483">
        <v>56.436415140000001</v>
      </c>
      <c r="D483" s="2">
        <v>11.3</v>
      </c>
      <c r="E483" s="2">
        <v>25.6</v>
      </c>
      <c r="F483" s="2">
        <v>14.6</v>
      </c>
      <c r="G483" s="2">
        <v>0</v>
      </c>
      <c r="H483" s="2" t="str">
        <f>VLOOKUP(A483,Holidays!$A$2:$B$2107,2,1)</f>
        <v>Y</v>
      </c>
      <c r="I483" s="2" t="str">
        <f>VLOOKUP(A483,Holidays!$A$2:$C$2107,3,1)</f>
        <v>N</v>
      </c>
    </row>
    <row r="484" spans="1:9" x14ac:dyDescent="0.45">
      <c r="A484" s="1">
        <v>42487</v>
      </c>
      <c r="B484">
        <v>118531.5</v>
      </c>
      <c r="C484">
        <v>19.411138099999999</v>
      </c>
      <c r="D484" s="2">
        <v>13</v>
      </c>
      <c r="E484" s="2">
        <v>25.4</v>
      </c>
      <c r="F484" s="2">
        <v>13.5</v>
      </c>
      <c r="G484" s="2">
        <v>0</v>
      </c>
      <c r="H484" s="2" t="str">
        <f>VLOOKUP(A484,Holidays!$A$2:$B$2107,2,1)</f>
        <v>Y</v>
      </c>
      <c r="I484" s="2" t="str">
        <f>VLOOKUP(A484,Holidays!$A$2:$C$2107,3,1)</f>
        <v>N</v>
      </c>
    </row>
    <row r="485" spans="1:9" x14ac:dyDescent="0.45">
      <c r="A485" s="1">
        <v>42488</v>
      </c>
      <c r="B485">
        <v>126847.02</v>
      </c>
      <c r="C485">
        <v>60.581978929999998</v>
      </c>
      <c r="D485" s="2">
        <v>19.8</v>
      </c>
      <c r="E485" s="2">
        <v>24.9</v>
      </c>
      <c r="F485" s="2">
        <v>5.3</v>
      </c>
      <c r="G485" s="2">
        <v>0</v>
      </c>
      <c r="H485" s="2" t="str">
        <f>VLOOKUP(A485,Holidays!$A$2:$B$2107,2,1)</f>
        <v>Y</v>
      </c>
      <c r="I485" s="2" t="str">
        <f>VLOOKUP(A485,Holidays!$A$2:$C$2107,3,1)</f>
        <v>N</v>
      </c>
    </row>
    <row r="486" spans="1:9" x14ac:dyDescent="0.45">
      <c r="A486" s="1">
        <v>42489</v>
      </c>
      <c r="B486">
        <v>122054.13</v>
      </c>
      <c r="C486">
        <v>51.748341770000003</v>
      </c>
      <c r="D486" s="2">
        <v>16.899999999999999</v>
      </c>
      <c r="E486" s="2">
        <v>20.6</v>
      </c>
      <c r="F486" s="2">
        <v>3.7</v>
      </c>
      <c r="G486" s="2">
        <v>0.4</v>
      </c>
      <c r="H486" s="2" t="str">
        <f>VLOOKUP(A486,Holidays!$A$2:$B$2107,2,1)</f>
        <v>Y</v>
      </c>
      <c r="I486" s="2" t="str">
        <f>VLOOKUP(A486,Holidays!$A$2:$C$2107,3,1)</f>
        <v>N</v>
      </c>
    </row>
    <row r="487" spans="1:9" x14ac:dyDescent="0.45">
      <c r="A487" s="1">
        <v>42490</v>
      </c>
      <c r="B487">
        <v>103505.19500000001</v>
      </c>
      <c r="C487">
        <v>27.107906180000001</v>
      </c>
      <c r="D487" s="2">
        <v>16.399999999999999</v>
      </c>
      <c r="E487" s="2">
        <v>24.1</v>
      </c>
      <c r="F487" s="2">
        <v>12.7</v>
      </c>
      <c r="G487" s="2">
        <v>6.2</v>
      </c>
      <c r="H487" s="2" t="str">
        <f>VLOOKUP(A487,Holidays!$A$2:$B$2107,2,1)</f>
        <v>Y</v>
      </c>
      <c r="I487" s="2" t="str">
        <f>VLOOKUP(A487,Holidays!$A$2:$C$2107,3,1)</f>
        <v>N</v>
      </c>
    </row>
    <row r="488" spans="1:9" x14ac:dyDescent="0.45">
      <c r="A488" s="1">
        <v>42491</v>
      </c>
      <c r="B488">
        <v>98873.535000000003</v>
      </c>
      <c r="C488">
        <v>31.87421762</v>
      </c>
      <c r="D488" s="2">
        <v>14.4</v>
      </c>
      <c r="E488" s="2">
        <v>17</v>
      </c>
      <c r="F488" s="2">
        <v>9</v>
      </c>
      <c r="G488" s="2">
        <v>9.8000000000000007</v>
      </c>
      <c r="H488" s="2" t="str">
        <f>VLOOKUP(A488,Holidays!$A$2:$B$2107,2,1)</f>
        <v>Y</v>
      </c>
      <c r="I488" s="2" t="str">
        <f>VLOOKUP(A488,Holidays!$A$2:$C$2107,3,1)</f>
        <v>N</v>
      </c>
    </row>
    <row r="489" spans="1:9" x14ac:dyDescent="0.45">
      <c r="A489" s="1">
        <v>42492</v>
      </c>
      <c r="B489">
        <v>116969.63</v>
      </c>
      <c r="C489">
        <v>37.348517579999999</v>
      </c>
      <c r="D489" s="2">
        <v>9</v>
      </c>
      <c r="E489" s="2">
        <v>18.399999999999999</v>
      </c>
      <c r="F489" s="2">
        <v>12.3</v>
      </c>
      <c r="G489" s="2">
        <v>0.4</v>
      </c>
      <c r="H489" s="2" t="str">
        <f>VLOOKUP(A489,Holidays!$A$2:$B$2107,2,1)</f>
        <v>Y</v>
      </c>
      <c r="I489" s="2" t="str">
        <f>VLOOKUP(A489,Holidays!$A$2:$C$2107,3,1)</f>
        <v>N</v>
      </c>
    </row>
    <row r="490" spans="1:9" x14ac:dyDescent="0.45">
      <c r="A490" s="1">
        <v>42493</v>
      </c>
      <c r="B490">
        <v>119014.44500000001</v>
      </c>
      <c r="C490">
        <v>22.24291908</v>
      </c>
      <c r="D490" s="2">
        <v>12.3</v>
      </c>
      <c r="E490" s="2">
        <v>20.100000000000001</v>
      </c>
      <c r="F490" s="2">
        <v>8.8000000000000007</v>
      </c>
      <c r="G490" s="2">
        <v>0</v>
      </c>
      <c r="H490" s="2" t="str">
        <f>VLOOKUP(A490,Holidays!$A$2:$B$2107,2,1)</f>
        <v>Y</v>
      </c>
      <c r="I490" s="2" t="str">
        <f>VLOOKUP(A490,Holidays!$A$2:$C$2107,3,1)</f>
        <v>N</v>
      </c>
    </row>
    <row r="491" spans="1:9" x14ac:dyDescent="0.45">
      <c r="A491" s="1">
        <v>42494</v>
      </c>
      <c r="B491">
        <v>124525.185</v>
      </c>
      <c r="C491">
        <v>47.753842599999999</v>
      </c>
      <c r="D491" s="2">
        <v>9.8000000000000007</v>
      </c>
      <c r="E491" s="2">
        <v>18.2</v>
      </c>
      <c r="F491" s="2">
        <v>11.8</v>
      </c>
      <c r="G491" s="2">
        <v>0.2</v>
      </c>
      <c r="H491" s="2" t="str">
        <f>VLOOKUP(A491,Holidays!$A$2:$B$2107,2,1)</f>
        <v>Y</v>
      </c>
      <c r="I491" s="2" t="str">
        <f>VLOOKUP(A491,Holidays!$A$2:$C$2107,3,1)</f>
        <v>N</v>
      </c>
    </row>
    <row r="492" spans="1:9" x14ac:dyDescent="0.45">
      <c r="A492" s="1">
        <v>42495</v>
      </c>
      <c r="B492">
        <v>118192.05499999999</v>
      </c>
      <c r="C492">
        <v>27.232252970000001</v>
      </c>
      <c r="D492" s="2">
        <v>12.6</v>
      </c>
      <c r="E492" s="2">
        <v>20.5</v>
      </c>
      <c r="F492" s="2">
        <v>12.3</v>
      </c>
      <c r="G492" s="2">
        <v>0</v>
      </c>
      <c r="H492" s="2" t="str">
        <f>VLOOKUP(A492,Holidays!$A$2:$B$2107,2,1)</f>
        <v>Y</v>
      </c>
      <c r="I492" s="2" t="str">
        <f>VLOOKUP(A492,Holidays!$A$2:$C$2107,3,1)</f>
        <v>N</v>
      </c>
    </row>
    <row r="493" spans="1:9" x14ac:dyDescent="0.45">
      <c r="A493" s="1">
        <v>42496</v>
      </c>
      <c r="B493">
        <v>120421.32</v>
      </c>
      <c r="C493">
        <v>64.317056579999999</v>
      </c>
      <c r="D493" s="2">
        <v>15.9</v>
      </c>
      <c r="E493" s="2">
        <v>24.7</v>
      </c>
      <c r="F493" s="2">
        <v>13.2</v>
      </c>
      <c r="G493" s="2">
        <v>0</v>
      </c>
      <c r="H493" s="2" t="str">
        <f>VLOOKUP(A493,Holidays!$A$2:$B$2107,2,1)</f>
        <v>Y</v>
      </c>
      <c r="I493" s="2" t="str">
        <f>VLOOKUP(A493,Holidays!$A$2:$C$2107,3,1)</f>
        <v>N</v>
      </c>
    </row>
    <row r="494" spans="1:9" x14ac:dyDescent="0.45">
      <c r="A494" s="1">
        <v>42497</v>
      </c>
      <c r="B494">
        <v>106052.64</v>
      </c>
      <c r="C494">
        <v>46.627024280000001</v>
      </c>
      <c r="D494" s="2">
        <v>11.4</v>
      </c>
      <c r="E494" s="2">
        <v>25.7</v>
      </c>
      <c r="F494" s="2">
        <v>12.6</v>
      </c>
      <c r="G494" s="2">
        <v>0</v>
      </c>
      <c r="H494" s="2" t="str">
        <f>VLOOKUP(A494,Holidays!$A$2:$B$2107,2,1)</f>
        <v>Y</v>
      </c>
      <c r="I494" s="2" t="str">
        <f>VLOOKUP(A494,Holidays!$A$2:$C$2107,3,1)</f>
        <v>N</v>
      </c>
    </row>
    <row r="495" spans="1:9" x14ac:dyDescent="0.45">
      <c r="A495" s="1">
        <v>42498</v>
      </c>
      <c r="B495">
        <v>103487.28</v>
      </c>
      <c r="C495">
        <v>59.14011232</v>
      </c>
      <c r="D495" s="2">
        <v>15.5</v>
      </c>
      <c r="E495" s="2">
        <v>20.399999999999999</v>
      </c>
      <c r="F495" s="2">
        <v>3.5</v>
      </c>
      <c r="G495" s="2">
        <v>5.4</v>
      </c>
      <c r="H495" s="2" t="str">
        <f>VLOOKUP(A495,Holidays!$A$2:$B$2107,2,1)</f>
        <v>Y</v>
      </c>
      <c r="I495" s="2" t="str">
        <f>VLOOKUP(A495,Holidays!$A$2:$C$2107,3,1)</f>
        <v>N</v>
      </c>
    </row>
    <row r="496" spans="1:9" x14ac:dyDescent="0.45">
      <c r="A496" s="1">
        <v>42499</v>
      </c>
      <c r="B496">
        <v>119781.13499999999</v>
      </c>
      <c r="C496">
        <v>100.8140427</v>
      </c>
      <c r="D496" s="2">
        <v>15.4</v>
      </c>
      <c r="E496" s="2">
        <v>22.2</v>
      </c>
      <c r="F496" s="2">
        <v>6.7</v>
      </c>
      <c r="G496" s="2">
        <v>0.8</v>
      </c>
      <c r="H496" s="2" t="str">
        <f>VLOOKUP(A496,Holidays!$A$2:$B$2107,2,1)</f>
        <v>Y</v>
      </c>
      <c r="I496" s="2" t="str">
        <f>VLOOKUP(A496,Holidays!$A$2:$C$2107,3,1)</f>
        <v>N</v>
      </c>
    </row>
    <row r="497" spans="1:9" x14ac:dyDescent="0.45">
      <c r="A497" s="1">
        <v>42500</v>
      </c>
      <c r="B497">
        <v>119611.88</v>
      </c>
      <c r="C497">
        <v>36.980106599999999</v>
      </c>
      <c r="D497" s="2">
        <v>13.7</v>
      </c>
      <c r="E497" s="2">
        <v>17.2</v>
      </c>
      <c r="F497" s="2">
        <v>7.6</v>
      </c>
      <c r="G497" s="2">
        <v>12</v>
      </c>
      <c r="H497" s="2" t="str">
        <f>VLOOKUP(A497,Holidays!$A$2:$B$2107,2,1)</f>
        <v>Y</v>
      </c>
      <c r="I497" s="2" t="str">
        <f>VLOOKUP(A497,Holidays!$A$2:$C$2107,3,1)</f>
        <v>N</v>
      </c>
    </row>
    <row r="498" spans="1:9" x14ac:dyDescent="0.45">
      <c r="A498" s="1">
        <v>42501</v>
      </c>
      <c r="B498">
        <v>123616.28</v>
      </c>
      <c r="C498">
        <v>59.849881660000001</v>
      </c>
      <c r="D498" s="2">
        <v>12.2</v>
      </c>
      <c r="E498" s="2">
        <v>17.399999999999999</v>
      </c>
      <c r="F498" s="2">
        <v>6.3</v>
      </c>
      <c r="G498" s="2">
        <v>0.2</v>
      </c>
      <c r="H498" s="2" t="str">
        <f>VLOOKUP(A498,Holidays!$A$2:$B$2107,2,1)</f>
        <v>Y</v>
      </c>
      <c r="I498" s="2" t="str">
        <f>VLOOKUP(A498,Holidays!$A$2:$C$2107,3,1)</f>
        <v>N</v>
      </c>
    </row>
    <row r="499" spans="1:9" x14ac:dyDescent="0.45">
      <c r="A499" s="1">
        <v>42502</v>
      </c>
      <c r="B499">
        <v>120693.53</v>
      </c>
      <c r="C499">
        <v>53.796096839999997</v>
      </c>
      <c r="D499" s="2">
        <v>14.1</v>
      </c>
      <c r="E499" s="2">
        <v>21.4</v>
      </c>
      <c r="F499" s="2">
        <v>6.1</v>
      </c>
      <c r="G499" s="2">
        <v>0.2</v>
      </c>
      <c r="H499" s="2" t="str">
        <f>VLOOKUP(A499,Holidays!$A$2:$B$2107,2,1)</f>
        <v>Y</v>
      </c>
      <c r="I499" s="2" t="str">
        <f>VLOOKUP(A499,Holidays!$A$2:$C$2107,3,1)</f>
        <v>N</v>
      </c>
    </row>
    <row r="500" spans="1:9" x14ac:dyDescent="0.45">
      <c r="A500" s="1">
        <v>42503</v>
      </c>
      <c r="B500">
        <v>118800.07</v>
      </c>
      <c r="C500">
        <v>52.36555156</v>
      </c>
      <c r="D500" s="2">
        <v>15.9</v>
      </c>
      <c r="E500" s="2">
        <v>21.6</v>
      </c>
      <c r="F500" s="2">
        <v>9.9</v>
      </c>
      <c r="G500" s="2">
        <v>0</v>
      </c>
      <c r="H500" s="2" t="str">
        <f>VLOOKUP(A500,Holidays!$A$2:$B$2107,2,1)</f>
        <v>Y</v>
      </c>
      <c r="I500" s="2" t="str">
        <f>VLOOKUP(A500,Holidays!$A$2:$C$2107,3,1)</f>
        <v>N</v>
      </c>
    </row>
    <row r="501" spans="1:9" x14ac:dyDescent="0.45">
      <c r="A501" s="1">
        <v>42504</v>
      </c>
      <c r="B501">
        <v>101945.995</v>
      </c>
      <c r="C501">
        <v>28.278767370000001</v>
      </c>
      <c r="D501" s="2">
        <v>14.5</v>
      </c>
      <c r="E501" s="2">
        <v>21.7</v>
      </c>
      <c r="F501" s="2">
        <v>12.6</v>
      </c>
      <c r="G501" s="2">
        <v>0</v>
      </c>
      <c r="H501" s="2" t="str">
        <f>VLOOKUP(A501,Holidays!$A$2:$B$2107,2,1)</f>
        <v>Y</v>
      </c>
      <c r="I501" s="2" t="str">
        <f>VLOOKUP(A501,Holidays!$A$2:$C$2107,3,1)</f>
        <v>N</v>
      </c>
    </row>
    <row r="502" spans="1:9" x14ac:dyDescent="0.45">
      <c r="A502" s="1">
        <v>42505</v>
      </c>
      <c r="B502">
        <v>99697.62</v>
      </c>
      <c r="C502">
        <v>37.076541059999997</v>
      </c>
      <c r="D502" s="2">
        <v>15</v>
      </c>
      <c r="E502" s="2">
        <v>22</v>
      </c>
      <c r="F502" s="2">
        <v>6.7</v>
      </c>
      <c r="G502" s="2">
        <v>0</v>
      </c>
      <c r="H502" s="2" t="str">
        <f>VLOOKUP(A502,Holidays!$A$2:$B$2107,2,1)</f>
        <v>Y</v>
      </c>
      <c r="I502" s="2" t="str">
        <f>VLOOKUP(A502,Holidays!$A$2:$C$2107,3,1)</f>
        <v>N</v>
      </c>
    </row>
    <row r="503" spans="1:9" x14ac:dyDescent="0.45">
      <c r="A503" s="1">
        <v>42506</v>
      </c>
      <c r="B503">
        <v>121182.69500000001</v>
      </c>
      <c r="C503">
        <v>41.916763160000002</v>
      </c>
      <c r="D503" s="2">
        <v>7.7</v>
      </c>
      <c r="E503" s="2">
        <v>19.600000000000001</v>
      </c>
      <c r="F503" s="2">
        <v>8.9</v>
      </c>
      <c r="G503" s="2">
        <v>0</v>
      </c>
      <c r="H503" s="2" t="str">
        <f>VLOOKUP(A503,Holidays!$A$2:$B$2107,2,1)</f>
        <v>Y</v>
      </c>
      <c r="I503" s="2" t="str">
        <f>VLOOKUP(A503,Holidays!$A$2:$C$2107,3,1)</f>
        <v>N</v>
      </c>
    </row>
    <row r="504" spans="1:9" x14ac:dyDescent="0.45">
      <c r="A504" s="1">
        <v>42507</v>
      </c>
      <c r="B504">
        <v>124209.405</v>
      </c>
      <c r="C504">
        <v>68.333326549999995</v>
      </c>
      <c r="D504" s="2">
        <v>11.4</v>
      </c>
      <c r="E504" s="2">
        <v>17.100000000000001</v>
      </c>
      <c r="F504" s="2">
        <v>5.4</v>
      </c>
      <c r="G504" s="2">
        <v>0.2</v>
      </c>
      <c r="H504" s="2" t="str">
        <f>VLOOKUP(A504,Holidays!$A$2:$B$2107,2,1)</f>
        <v>Y</v>
      </c>
      <c r="I504" s="2" t="str">
        <f>VLOOKUP(A504,Holidays!$A$2:$C$2107,3,1)</f>
        <v>N</v>
      </c>
    </row>
    <row r="505" spans="1:9" x14ac:dyDescent="0.45">
      <c r="A505" s="1">
        <v>42508</v>
      </c>
      <c r="B505">
        <v>124352.215</v>
      </c>
      <c r="C505">
        <v>70.588827640000005</v>
      </c>
      <c r="D505" s="2">
        <v>13</v>
      </c>
      <c r="E505" s="2">
        <v>19.3</v>
      </c>
      <c r="F505" s="2">
        <v>7.2</v>
      </c>
      <c r="G505" s="2">
        <v>0</v>
      </c>
      <c r="H505" s="2" t="str">
        <f>VLOOKUP(A505,Holidays!$A$2:$B$2107,2,1)</f>
        <v>Y</v>
      </c>
      <c r="I505" s="2" t="str">
        <f>VLOOKUP(A505,Holidays!$A$2:$C$2107,3,1)</f>
        <v>N</v>
      </c>
    </row>
    <row r="506" spans="1:9" x14ac:dyDescent="0.45">
      <c r="A506" s="1">
        <v>42509</v>
      </c>
      <c r="B506">
        <v>124392.29</v>
      </c>
      <c r="C506">
        <v>44.40335829</v>
      </c>
      <c r="D506" s="2">
        <v>14.6</v>
      </c>
      <c r="E506" s="2">
        <v>18.399999999999999</v>
      </c>
      <c r="F506" s="2">
        <v>2.2000000000000002</v>
      </c>
      <c r="G506" s="2">
        <v>0</v>
      </c>
      <c r="H506" s="2" t="str">
        <f>VLOOKUP(A506,Holidays!$A$2:$B$2107,2,1)</f>
        <v>Y</v>
      </c>
      <c r="I506" s="2" t="str">
        <f>VLOOKUP(A506,Holidays!$A$2:$C$2107,3,1)</f>
        <v>N</v>
      </c>
    </row>
    <row r="507" spans="1:9" x14ac:dyDescent="0.45">
      <c r="A507" s="1">
        <v>42510</v>
      </c>
      <c r="B507">
        <v>127705.84</v>
      </c>
      <c r="C507">
        <v>79.795907400000004</v>
      </c>
      <c r="D507" s="2">
        <v>11.6</v>
      </c>
      <c r="E507" s="2">
        <v>17.399999999999999</v>
      </c>
      <c r="F507" s="2">
        <v>8.3000000000000007</v>
      </c>
      <c r="G507" s="2">
        <v>1.8</v>
      </c>
      <c r="H507" s="2" t="str">
        <f>VLOOKUP(A507,Holidays!$A$2:$B$2107,2,1)</f>
        <v>Y</v>
      </c>
      <c r="I507" s="2" t="str">
        <f>VLOOKUP(A507,Holidays!$A$2:$C$2107,3,1)</f>
        <v>N</v>
      </c>
    </row>
    <row r="508" spans="1:9" x14ac:dyDescent="0.45">
      <c r="A508" s="1">
        <v>42511</v>
      </c>
      <c r="B508">
        <v>112336.78</v>
      </c>
      <c r="C508">
        <v>45.745271420000002</v>
      </c>
      <c r="D508" s="2">
        <v>8.1</v>
      </c>
      <c r="E508" s="2">
        <v>18.5</v>
      </c>
      <c r="F508" s="2">
        <v>8.9</v>
      </c>
      <c r="G508" s="2">
        <v>0</v>
      </c>
      <c r="H508" s="2" t="str">
        <f>VLOOKUP(A508,Holidays!$A$2:$B$2107,2,1)</f>
        <v>Y</v>
      </c>
      <c r="I508" s="2" t="str">
        <f>VLOOKUP(A508,Holidays!$A$2:$C$2107,3,1)</f>
        <v>N</v>
      </c>
    </row>
    <row r="509" spans="1:9" x14ac:dyDescent="0.45">
      <c r="A509" s="1">
        <v>42512</v>
      </c>
      <c r="B509">
        <v>101618.98</v>
      </c>
      <c r="C509">
        <v>24.192652460000001</v>
      </c>
      <c r="D509" s="2">
        <v>9.1999999999999993</v>
      </c>
      <c r="E509" s="2">
        <v>22.2</v>
      </c>
      <c r="F509" s="2">
        <v>8.5</v>
      </c>
      <c r="G509" s="2">
        <v>0</v>
      </c>
      <c r="H509" s="2" t="str">
        <f>VLOOKUP(A509,Holidays!$A$2:$B$2107,2,1)</f>
        <v>Y</v>
      </c>
      <c r="I509" s="2" t="str">
        <f>VLOOKUP(A509,Holidays!$A$2:$C$2107,3,1)</f>
        <v>N</v>
      </c>
    </row>
    <row r="510" spans="1:9" x14ac:dyDescent="0.45">
      <c r="A510" s="1">
        <v>42513</v>
      </c>
      <c r="B510">
        <v>121424.42</v>
      </c>
      <c r="C510">
        <v>10.80151908</v>
      </c>
      <c r="D510" s="2">
        <v>12.8</v>
      </c>
      <c r="E510" s="2">
        <v>17.2</v>
      </c>
      <c r="F510" s="2">
        <v>7.1</v>
      </c>
      <c r="G510" s="2">
        <v>2.2000000000000002</v>
      </c>
      <c r="H510" s="2" t="str">
        <f>VLOOKUP(A510,Holidays!$A$2:$B$2107,2,1)</f>
        <v>Y</v>
      </c>
      <c r="I510" s="2" t="str">
        <f>VLOOKUP(A510,Holidays!$A$2:$C$2107,3,1)</f>
        <v>N</v>
      </c>
    </row>
    <row r="511" spans="1:9" x14ac:dyDescent="0.45">
      <c r="A511" s="1">
        <v>42514</v>
      </c>
      <c r="B511">
        <v>131916.405</v>
      </c>
      <c r="C511">
        <v>45.213847149999999</v>
      </c>
      <c r="D511" s="2">
        <v>10.7</v>
      </c>
      <c r="E511" s="2">
        <v>15.8</v>
      </c>
      <c r="F511" s="2">
        <v>7.3</v>
      </c>
      <c r="G511" s="2">
        <v>1.8</v>
      </c>
      <c r="H511" s="2" t="str">
        <f>VLOOKUP(A511,Holidays!$A$2:$B$2107,2,1)</f>
        <v>Y</v>
      </c>
      <c r="I511" s="2" t="str">
        <f>VLOOKUP(A511,Holidays!$A$2:$C$2107,3,1)</f>
        <v>N</v>
      </c>
    </row>
    <row r="512" spans="1:9" x14ac:dyDescent="0.45">
      <c r="A512" s="1">
        <v>42515</v>
      </c>
      <c r="B512">
        <v>132170.04999999999</v>
      </c>
      <c r="C512">
        <v>66.258534830000002</v>
      </c>
      <c r="D512" s="2">
        <v>7.6</v>
      </c>
      <c r="E512" s="2">
        <v>15.6</v>
      </c>
      <c r="F512" s="2">
        <v>4.9000000000000004</v>
      </c>
      <c r="G512" s="2">
        <v>0</v>
      </c>
      <c r="H512" s="2" t="str">
        <f>VLOOKUP(A512,Holidays!$A$2:$B$2107,2,1)</f>
        <v>Y</v>
      </c>
      <c r="I512" s="2" t="str">
        <f>VLOOKUP(A512,Holidays!$A$2:$C$2107,3,1)</f>
        <v>N</v>
      </c>
    </row>
    <row r="513" spans="1:9" x14ac:dyDescent="0.45">
      <c r="A513" s="1">
        <v>42516</v>
      </c>
      <c r="B513">
        <v>137080.875</v>
      </c>
      <c r="C513">
        <v>99.424833129999996</v>
      </c>
      <c r="D513" s="2">
        <v>10.3</v>
      </c>
      <c r="E513" s="2">
        <v>12.5</v>
      </c>
      <c r="F513" s="2">
        <v>3.1</v>
      </c>
      <c r="G513" s="2">
        <v>12.4</v>
      </c>
      <c r="H513" s="2" t="str">
        <f>VLOOKUP(A513,Holidays!$A$2:$B$2107,2,1)</f>
        <v>Y</v>
      </c>
      <c r="I513" s="2" t="str">
        <f>VLOOKUP(A513,Holidays!$A$2:$C$2107,3,1)</f>
        <v>N</v>
      </c>
    </row>
    <row r="514" spans="1:9" x14ac:dyDescent="0.45">
      <c r="A514" s="1">
        <v>42517</v>
      </c>
      <c r="B514">
        <v>134317.62</v>
      </c>
      <c r="C514">
        <v>68.193428539999999</v>
      </c>
      <c r="D514" s="2">
        <v>9.1999999999999993</v>
      </c>
      <c r="E514" s="2">
        <v>14.4</v>
      </c>
      <c r="F514" s="2">
        <v>8</v>
      </c>
      <c r="G514" s="2">
        <v>4.8</v>
      </c>
      <c r="H514" s="2" t="str">
        <f>VLOOKUP(A514,Holidays!$A$2:$B$2107,2,1)</f>
        <v>Y</v>
      </c>
      <c r="I514" s="2" t="str">
        <f>VLOOKUP(A514,Holidays!$A$2:$C$2107,3,1)</f>
        <v>N</v>
      </c>
    </row>
    <row r="515" spans="1:9" x14ac:dyDescent="0.45">
      <c r="A515" s="1">
        <v>42518</v>
      </c>
      <c r="B515">
        <v>119938.795</v>
      </c>
      <c r="C515">
        <v>81.990134580000003</v>
      </c>
      <c r="D515" s="2">
        <v>5.7</v>
      </c>
      <c r="E515" s="2">
        <v>13.2</v>
      </c>
      <c r="F515" s="2">
        <v>6.2</v>
      </c>
      <c r="G515" s="2">
        <v>0.6</v>
      </c>
      <c r="H515" s="2" t="str">
        <f>VLOOKUP(A515,Holidays!$A$2:$B$2107,2,1)</f>
        <v>Y</v>
      </c>
      <c r="I515" s="2" t="str">
        <f>VLOOKUP(A515,Holidays!$A$2:$C$2107,3,1)</f>
        <v>N</v>
      </c>
    </row>
    <row r="516" spans="1:9" x14ac:dyDescent="0.45">
      <c r="A516" s="1">
        <v>42519</v>
      </c>
      <c r="B516">
        <v>118751.965</v>
      </c>
      <c r="C516">
        <v>68.715474040000004</v>
      </c>
      <c r="D516" s="2">
        <v>8.6999999999999993</v>
      </c>
      <c r="E516" s="2">
        <v>13.9</v>
      </c>
      <c r="F516" s="2">
        <v>6.5</v>
      </c>
      <c r="G516" s="2">
        <v>4.2</v>
      </c>
      <c r="H516" s="2" t="str">
        <f>VLOOKUP(A516,Holidays!$A$2:$B$2107,2,1)</f>
        <v>Y</v>
      </c>
      <c r="I516" s="2" t="str">
        <f>VLOOKUP(A516,Holidays!$A$2:$C$2107,3,1)</f>
        <v>N</v>
      </c>
    </row>
    <row r="517" spans="1:9" x14ac:dyDescent="0.45">
      <c r="A517" s="1">
        <v>42520</v>
      </c>
      <c r="B517">
        <v>134983.95499999999</v>
      </c>
      <c r="C517">
        <v>115.7846736</v>
      </c>
      <c r="D517" s="2">
        <v>7.2</v>
      </c>
      <c r="E517" s="2">
        <v>15.4</v>
      </c>
      <c r="F517" s="2">
        <v>9.5</v>
      </c>
      <c r="G517" s="2">
        <v>0</v>
      </c>
      <c r="H517" s="2" t="str">
        <f>VLOOKUP(A517,Holidays!$A$2:$B$2107,2,1)</f>
        <v>Y</v>
      </c>
      <c r="I517" s="2" t="str">
        <f>VLOOKUP(A517,Holidays!$A$2:$C$2107,3,1)</f>
        <v>N</v>
      </c>
    </row>
    <row r="518" spans="1:9" x14ac:dyDescent="0.45">
      <c r="A518" s="1">
        <v>42521</v>
      </c>
      <c r="B518">
        <v>140402.15</v>
      </c>
      <c r="C518">
        <v>156.46472259999999</v>
      </c>
      <c r="D518" s="2">
        <v>3.6</v>
      </c>
      <c r="E518" s="2">
        <v>17.399999999999999</v>
      </c>
      <c r="F518" s="2">
        <v>9.5</v>
      </c>
      <c r="G518" s="2">
        <v>0</v>
      </c>
      <c r="H518" s="2" t="str">
        <f>VLOOKUP(A518,Holidays!$A$2:$B$2107,2,1)</f>
        <v>Y</v>
      </c>
      <c r="I518" s="2" t="str">
        <f>VLOOKUP(A518,Holidays!$A$2:$C$2107,3,1)</f>
        <v>N</v>
      </c>
    </row>
    <row r="519" spans="1:9" x14ac:dyDescent="0.45">
      <c r="A519" s="1">
        <v>42522</v>
      </c>
      <c r="B519">
        <v>141195.03</v>
      </c>
      <c r="C519">
        <v>168.85275920000001</v>
      </c>
      <c r="D519" s="2">
        <v>4.8</v>
      </c>
      <c r="E519" s="2">
        <v>17</v>
      </c>
      <c r="F519" s="2">
        <v>8.1999999999999993</v>
      </c>
      <c r="G519" s="2">
        <v>0</v>
      </c>
      <c r="H519" s="2" t="str">
        <f>VLOOKUP(A519,Holidays!$A$2:$B$2107,2,1)</f>
        <v>Y</v>
      </c>
      <c r="I519" s="2" t="str">
        <f>VLOOKUP(A519,Holidays!$A$2:$C$2107,3,1)</f>
        <v>N</v>
      </c>
    </row>
    <row r="520" spans="1:9" x14ac:dyDescent="0.45">
      <c r="A520" s="1">
        <v>42523</v>
      </c>
      <c r="B520">
        <v>141292.56</v>
      </c>
      <c r="C520">
        <v>180.9103503</v>
      </c>
      <c r="D520" s="2">
        <v>4.8</v>
      </c>
      <c r="E520" s="2">
        <v>12.8</v>
      </c>
      <c r="F520" s="2">
        <v>9.1999999999999993</v>
      </c>
      <c r="G520" s="2">
        <v>0</v>
      </c>
      <c r="H520" s="2" t="str">
        <f>VLOOKUP(A520,Holidays!$A$2:$B$2107,2,1)</f>
        <v>Y</v>
      </c>
      <c r="I520" s="2" t="str">
        <f>VLOOKUP(A520,Holidays!$A$2:$C$2107,3,1)</f>
        <v>N</v>
      </c>
    </row>
    <row r="521" spans="1:9" x14ac:dyDescent="0.45">
      <c r="A521" s="1">
        <v>42524</v>
      </c>
      <c r="B521">
        <v>137717.255</v>
      </c>
      <c r="C521">
        <v>175.85462989999999</v>
      </c>
      <c r="D521" s="2">
        <v>6.8</v>
      </c>
      <c r="E521" s="2">
        <v>14.1</v>
      </c>
      <c r="F521" s="2">
        <v>8.5</v>
      </c>
      <c r="G521" s="2">
        <v>0</v>
      </c>
      <c r="H521" s="2" t="str">
        <f>VLOOKUP(A521,Holidays!$A$2:$B$2107,2,1)</f>
        <v>Y</v>
      </c>
      <c r="I521" s="2" t="str">
        <f>VLOOKUP(A521,Holidays!$A$2:$C$2107,3,1)</f>
        <v>N</v>
      </c>
    </row>
    <row r="522" spans="1:9" x14ac:dyDescent="0.45">
      <c r="A522" s="1">
        <v>42525</v>
      </c>
      <c r="B522">
        <v>122764.33</v>
      </c>
      <c r="C522">
        <v>126.74997190000001</v>
      </c>
      <c r="D522" s="2">
        <v>9.8000000000000007</v>
      </c>
      <c r="E522" s="2">
        <v>13.4</v>
      </c>
      <c r="F522" s="2">
        <v>3.7</v>
      </c>
      <c r="G522" s="2">
        <v>6.2</v>
      </c>
      <c r="H522" s="2" t="str">
        <f>VLOOKUP(A522,Holidays!$A$2:$B$2107,2,1)</f>
        <v>Y</v>
      </c>
      <c r="I522" s="2" t="str">
        <f>VLOOKUP(A522,Holidays!$A$2:$C$2107,3,1)</f>
        <v>N</v>
      </c>
    </row>
    <row r="523" spans="1:9" x14ac:dyDescent="0.45">
      <c r="A523" s="1">
        <v>42526</v>
      </c>
      <c r="B523">
        <v>116052.80499999999</v>
      </c>
      <c r="C523">
        <v>122.7887776</v>
      </c>
      <c r="D523" s="2">
        <v>10.5</v>
      </c>
      <c r="E523" s="2">
        <v>14.1</v>
      </c>
      <c r="F523" s="2">
        <v>3.3</v>
      </c>
      <c r="G523" s="2">
        <v>3.4</v>
      </c>
      <c r="H523" s="2" t="str">
        <f>VLOOKUP(A523,Holidays!$A$2:$B$2107,2,1)</f>
        <v>Y</v>
      </c>
      <c r="I523" s="2" t="str">
        <f>VLOOKUP(A523,Holidays!$A$2:$C$2107,3,1)</f>
        <v>N</v>
      </c>
    </row>
    <row r="524" spans="1:9" x14ac:dyDescent="0.45">
      <c r="A524" s="1">
        <v>42527</v>
      </c>
      <c r="B524">
        <v>134829.755</v>
      </c>
      <c r="C524">
        <v>107.44561210000001</v>
      </c>
      <c r="D524" s="2">
        <v>8.9</v>
      </c>
      <c r="E524" s="2">
        <v>14.5</v>
      </c>
      <c r="F524" s="2">
        <v>7.1</v>
      </c>
      <c r="G524" s="2">
        <v>1.4</v>
      </c>
      <c r="H524" s="2" t="str">
        <f>VLOOKUP(A524,Holidays!$A$2:$B$2107,2,1)</f>
        <v>Y</v>
      </c>
      <c r="I524" s="2" t="str">
        <f>VLOOKUP(A524,Holidays!$A$2:$C$2107,3,1)</f>
        <v>N</v>
      </c>
    </row>
    <row r="525" spans="1:9" x14ac:dyDescent="0.45">
      <c r="A525" s="1">
        <v>42528</v>
      </c>
      <c r="B525">
        <v>135306.005</v>
      </c>
      <c r="C525">
        <v>88.326962910000006</v>
      </c>
      <c r="D525" s="2">
        <v>10.5</v>
      </c>
      <c r="E525" s="2">
        <v>15.3</v>
      </c>
      <c r="F525" s="2">
        <v>4.7</v>
      </c>
      <c r="G525" s="2">
        <v>0</v>
      </c>
      <c r="H525" s="2" t="str">
        <f>VLOOKUP(A525,Holidays!$A$2:$B$2107,2,1)</f>
        <v>Y</v>
      </c>
      <c r="I525" s="2" t="str">
        <f>VLOOKUP(A525,Holidays!$A$2:$C$2107,3,1)</f>
        <v>N</v>
      </c>
    </row>
    <row r="526" spans="1:9" x14ac:dyDescent="0.45">
      <c r="A526" s="1">
        <v>42529</v>
      </c>
      <c r="B526">
        <v>137305.35500000001</v>
      </c>
      <c r="C526">
        <v>91.315660199999996</v>
      </c>
      <c r="D526" s="2">
        <v>9.6999999999999993</v>
      </c>
      <c r="E526" s="2">
        <v>14.7</v>
      </c>
      <c r="F526" s="2">
        <v>4.7</v>
      </c>
      <c r="G526" s="2">
        <v>1.2</v>
      </c>
      <c r="H526" s="2" t="str">
        <f>VLOOKUP(A526,Holidays!$A$2:$B$2107,2,1)</f>
        <v>Y</v>
      </c>
      <c r="I526" s="2" t="str">
        <f>VLOOKUP(A526,Holidays!$A$2:$C$2107,3,1)</f>
        <v>N</v>
      </c>
    </row>
    <row r="527" spans="1:9" x14ac:dyDescent="0.45">
      <c r="A527" s="1">
        <v>42530</v>
      </c>
      <c r="B527">
        <v>132859.30499999999</v>
      </c>
      <c r="C527">
        <v>50.238971939999999</v>
      </c>
      <c r="D527" s="2">
        <v>10.8</v>
      </c>
      <c r="E527" s="2">
        <v>17.5</v>
      </c>
      <c r="F527" s="2">
        <v>6</v>
      </c>
      <c r="G527" s="2">
        <v>1.4</v>
      </c>
      <c r="H527" s="2" t="str">
        <f>VLOOKUP(A527,Holidays!$A$2:$B$2107,2,1)</f>
        <v>Y</v>
      </c>
      <c r="I527" s="2" t="str">
        <f>VLOOKUP(A527,Holidays!$A$2:$C$2107,3,1)</f>
        <v>N</v>
      </c>
    </row>
    <row r="528" spans="1:9" x14ac:dyDescent="0.45">
      <c r="A528" s="1">
        <v>42531</v>
      </c>
      <c r="B528">
        <v>132209.51500000001</v>
      </c>
      <c r="C528">
        <v>47.425798780000001</v>
      </c>
      <c r="D528" s="2">
        <v>10.4</v>
      </c>
      <c r="E528" s="2">
        <v>15.8</v>
      </c>
      <c r="F528" s="2">
        <v>6.6</v>
      </c>
      <c r="G528" s="2">
        <v>0</v>
      </c>
      <c r="H528" s="2" t="str">
        <f>VLOOKUP(A528,Holidays!$A$2:$B$2107,2,1)</f>
        <v>Y</v>
      </c>
      <c r="I528" s="2" t="str">
        <f>VLOOKUP(A528,Holidays!$A$2:$C$2107,3,1)</f>
        <v>N</v>
      </c>
    </row>
    <row r="529" spans="1:9" x14ac:dyDescent="0.45">
      <c r="A529" s="1">
        <v>42532</v>
      </c>
      <c r="B529">
        <v>120753.43</v>
      </c>
      <c r="C529">
        <v>55.590969579999999</v>
      </c>
      <c r="D529" s="2">
        <v>9</v>
      </c>
      <c r="E529" s="2">
        <v>13.5</v>
      </c>
      <c r="F529" s="2">
        <v>6.5</v>
      </c>
      <c r="G529" s="2">
        <v>3</v>
      </c>
      <c r="H529" s="2" t="str">
        <f>VLOOKUP(A529,Holidays!$A$2:$B$2107,2,1)</f>
        <v>Y</v>
      </c>
      <c r="I529" s="2" t="str">
        <f>VLOOKUP(A529,Holidays!$A$2:$C$2107,3,1)</f>
        <v>N</v>
      </c>
    </row>
    <row r="530" spans="1:9" x14ac:dyDescent="0.45">
      <c r="A530" s="1">
        <v>42533</v>
      </c>
      <c r="B530">
        <v>122771.53</v>
      </c>
      <c r="C530">
        <v>77.215287989999993</v>
      </c>
      <c r="D530" s="2">
        <v>5</v>
      </c>
      <c r="E530" s="2">
        <v>13.8</v>
      </c>
      <c r="F530" s="2">
        <v>7.3</v>
      </c>
      <c r="G530" s="2">
        <v>0.6</v>
      </c>
      <c r="H530" s="2" t="str">
        <f>VLOOKUP(A530,Holidays!$A$2:$B$2107,2,1)</f>
        <v>Y</v>
      </c>
      <c r="I530" s="2" t="str">
        <f>VLOOKUP(A530,Holidays!$A$2:$C$2107,3,1)</f>
        <v>N</v>
      </c>
    </row>
    <row r="531" spans="1:9" x14ac:dyDescent="0.45">
      <c r="A531" s="1">
        <v>42534</v>
      </c>
      <c r="B531">
        <v>122106.95</v>
      </c>
      <c r="C531">
        <v>95.064774630000002</v>
      </c>
      <c r="D531" s="2">
        <v>3.8</v>
      </c>
      <c r="E531" s="2">
        <v>13.4</v>
      </c>
      <c r="F531" s="2">
        <v>9</v>
      </c>
      <c r="G531" s="2">
        <v>0</v>
      </c>
      <c r="H531" s="2" t="str">
        <f>VLOOKUP(A531,Holidays!$A$2:$B$2107,2,1)</f>
        <v>Y</v>
      </c>
      <c r="I531" s="2" t="str">
        <f>VLOOKUP(A531,Holidays!$A$2:$C$2107,3,1)</f>
        <v>Y</v>
      </c>
    </row>
    <row r="532" spans="1:9" x14ac:dyDescent="0.45">
      <c r="A532" s="1">
        <v>42535</v>
      </c>
      <c r="B532">
        <v>138466.56</v>
      </c>
      <c r="C532">
        <v>90.845109260000001</v>
      </c>
      <c r="D532" s="2">
        <v>8.6</v>
      </c>
      <c r="E532" s="2">
        <v>15.6</v>
      </c>
      <c r="F532" s="2">
        <v>8.3000000000000007</v>
      </c>
      <c r="G532" s="2">
        <v>0</v>
      </c>
      <c r="H532" s="2" t="str">
        <f>VLOOKUP(A532,Holidays!$A$2:$B$2107,2,1)</f>
        <v>Y</v>
      </c>
      <c r="I532" s="2" t="str">
        <f>VLOOKUP(A532,Holidays!$A$2:$C$2107,3,1)</f>
        <v>N</v>
      </c>
    </row>
    <row r="533" spans="1:9" x14ac:dyDescent="0.45">
      <c r="A533" s="1">
        <v>42536</v>
      </c>
      <c r="B533">
        <v>140904.59</v>
      </c>
      <c r="C533">
        <v>92.416245849999996</v>
      </c>
      <c r="D533" s="2">
        <v>6</v>
      </c>
      <c r="E533" s="2">
        <v>17.899999999999999</v>
      </c>
      <c r="F533" s="2">
        <v>9.1999999999999993</v>
      </c>
      <c r="G533" s="2">
        <v>0</v>
      </c>
      <c r="H533" s="2" t="str">
        <f>VLOOKUP(A533,Holidays!$A$2:$B$2107,2,1)</f>
        <v>Y</v>
      </c>
      <c r="I533" s="2" t="str">
        <f>VLOOKUP(A533,Holidays!$A$2:$C$2107,3,1)</f>
        <v>N</v>
      </c>
    </row>
    <row r="534" spans="1:9" x14ac:dyDescent="0.45">
      <c r="A534" s="1">
        <v>42537</v>
      </c>
      <c r="B534">
        <v>140741.16500000001</v>
      </c>
      <c r="C534">
        <v>89.929148949999998</v>
      </c>
      <c r="D534" s="2">
        <v>7.8</v>
      </c>
      <c r="E534" s="2">
        <v>14.3</v>
      </c>
      <c r="F534" s="2">
        <v>5.0999999999999996</v>
      </c>
      <c r="G534" s="2">
        <v>0</v>
      </c>
      <c r="H534" s="2" t="str">
        <f>VLOOKUP(A534,Holidays!$A$2:$B$2107,2,1)</f>
        <v>Y</v>
      </c>
      <c r="I534" s="2" t="str">
        <f>VLOOKUP(A534,Holidays!$A$2:$C$2107,3,1)</f>
        <v>N</v>
      </c>
    </row>
    <row r="535" spans="1:9" x14ac:dyDescent="0.45">
      <c r="A535" s="1">
        <v>42538</v>
      </c>
      <c r="B535">
        <v>138023.10999999999</v>
      </c>
      <c r="C535">
        <v>99.573674510000004</v>
      </c>
      <c r="D535" s="2">
        <v>9.3000000000000007</v>
      </c>
      <c r="E535" s="2">
        <v>15.1</v>
      </c>
      <c r="F535" s="2">
        <v>3.5</v>
      </c>
      <c r="G535" s="2">
        <v>4.2</v>
      </c>
      <c r="H535" s="2" t="str">
        <f>VLOOKUP(A535,Holidays!$A$2:$B$2107,2,1)</f>
        <v>Y</v>
      </c>
      <c r="I535" s="2" t="str">
        <f>VLOOKUP(A535,Holidays!$A$2:$C$2107,3,1)</f>
        <v>N</v>
      </c>
    </row>
    <row r="536" spans="1:9" x14ac:dyDescent="0.45">
      <c r="A536" s="1">
        <v>42539</v>
      </c>
      <c r="B536">
        <v>123162.185</v>
      </c>
      <c r="C536">
        <v>62.934016130000003</v>
      </c>
      <c r="D536" s="2">
        <v>10</v>
      </c>
      <c r="E536" s="2">
        <v>12.7</v>
      </c>
      <c r="F536" s="2">
        <v>5.3</v>
      </c>
      <c r="G536" s="2">
        <v>8.6</v>
      </c>
      <c r="H536" s="2" t="str">
        <f>VLOOKUP(A536,Holidays!$A$2:$B$2107,2,1)</f>
        <v>Y</v>
      </c>
      <c r="I536" s="2" t="str">
        <f>VLOOKUP(A536,Holidays!$A$2:$C$2107,3,1)</f>
        <v>N</v>
      </c>
    </row>
    <row r="537" spans="1:9" x14ac:dyDescent="0.45">
      <c r="A537" s="1">
        <v>42540</v>
      </c>
      <c r="B537">
        <v>119662.16499999999</v>
      </c>
      <c r="C537">
        <v>79.384821770000002</v>
      </c>
      <c r="D537" s="2">
        <v>7.3</v>
      </c>
      <c r="E537" s="2">
        <v>13.5</v>
      </c>
      <c r="F537" s="2">
        <v>7.2</v>
      </c>
      <c r="G537" s="2">
        <v>0.4</v>
      </c>
      <c r="H537" s="2" t="str">
        <f>VLOOKUP(A537,Holidays!$A$2:$B$2107,2,1)</f>
        <v>Y</v>
      </c>
      <c r="I537" s="2" t="str">
        <f>VLOOKUP(A537,Holidays!$A$2:$C$2107,3,1)</f>
        <v>N</v>
      </c>
    </row>
    <row r="538" spans="1:9" x14ac:dyDescent="0.45">
      <c r="A538" s="1">
        <v>42541</v>
      </c>
      <c r="B538">
        <v>134435.11499999999</v>
      </c>
      <c r="C538">
        <v>114.875078</v>
      </c>
      <c r="D538" s="2">
        <v>9.1</v>
      </c>
      <c r="E538" s="2">
        <v>13.2</v>
      </c>
      <c r="F538" s="2">
        <v>3.4</v>
      </c>
      <c r="G538" s="2">
        <v>3.6</v>
      </c>
      <c r="H538" s="2" t="str">
        <f>VLOOKUP(A538,Holidays!$A$2:$B$2107,2,1)</f>
        <v>Y</v>
      </c>
      <c r="I538" s="2" t="str">
        <f>VLOOKUP(A538,Holidays!$A$2:$C$2107,3,1)</f>
        <v>N</v>
      </c>
    </row>
    <row r="539" spans="1:9" x14ac:dyDescent="0.45">
      <c r="A539" s="1">
        <v>42542</v>
      </c>
      <c r="B539">
        <v>137511.315</v>
      </c>
      <c r="C539">
        <v>62.154764110000002</v>
      </c>
      <c r="D539" s="2">
        <v>10.4</v>
      </c>
      <c r="E539" s="2">
        <v>14.7</v>
      </c>
      <c r="F539" s="2">
        <v>7</v>
      </c>
      <c r="G539" s="2">
        <v>3.2</v>
      </c>
      <c r="H539" s="2" t="str">
        <f>VLOOKUP(A539,Holidays!$A$2:$B$2107,2,1)</f>
        <v>Y</v>
      </c>
      <c r="I539" s="2" t="str">
        <f>VLOOKUP(A539,Holidays!$A$2:$C$2107,3,1)</f>
        <v>N</v>
      </c>
    </row>
    <row r="540" spans="1:9" x14ac:dyDescent="0.45">
      <c r="A540" s="1">
        <v>42543</v>
      </c>
      <c r="B540">
        <v>133813.285</v>
      </c>
      <c r="C540">
        <v>58.759038580000002</v>
      </c>
      <c r="D540" s="2">
        <v>11.2</v>
      </c>
      <c r="E540" s="2">
        <v>15.4</v>
      </c>
      <c r="F540" s="2">
        <v>6.6</v>
      </c>
      <c r="G540" s="2">
        <v>0</v>
      </c>
      <c r="H540" s="2" t="str">
        <f>VLOOKUP(A540,Holidays!$A$2:$B$2107,2,1)</f>
        <v>Y</v>
      </c>
      <c r="I540" s="2" t="str">
        <f>VLOOKUP(A540,Holidays!$A$2:$C$2107,3,1)</f>
        <v>N</v>
      </c>
    </row>
    <row r="541" spans="1:9" x14ac:dyDescent="0.45">
      <c r="A541" s="1">
        <v>42544</v>
      </c>
      <c r="B541">
        <v>136740.005</v>
      </c>
      <c r="C541">
        <v>78.318980190000005</v>
      </c>
      <c r="D541" s="2">
        <v>10.4</v>
      </c>
      <c r="E541" s="2">
        <v>14.8</v>
      </c>
      <c r="F541" s="2">
        <v>7.2</v>
      </c>
      <c r="G541" s="2">
        <v>0.6</v>
      </c>
      <c r="H541" s="2" t="str">
        <f>VLOOKUP(A541,Holidays!$A$2:$B$2107,2,1)</f>
        <v>Y</v>
      </c>
      <c r="I541" s="2" t="str">
        <f>VLOOKUP(A541,Holidays!$A$2:$C$2107,3,1)</f>
        <v>N</v>
      </c>
    </row>
    <row r="542" spans="1:9" x14ac:dyDescent="0.45">
      <c r="A542" s="1">
        <v>42545</v>
      </c>
      <c r="B542">
        <v>144658.38</v>
      </c>
      <c r="C542">
        <v>67.938496200000003</v>
      </c>
      <c r="D542" s="2">
        <v>6.9</v>
      </c>
      <c r="E542" s="2">
        <v>10.7</v>
      </c>
      <c r="F542" s="2">
        <v>5.8</v>
      </c>
      <c r="G542" s="2">
        <v>13.8</v>
      </c>
      <c r="H542" s="2" t="str">
        <f>VLOOKUP(A542,Holidays!$A$2:$B$2107,2,1)</f>
        <v>N</v>
      </c>
      <c r="I542" s="2" t="str">
        <f>VLOOKUP(A542,Holidays!$A$2:$C$2107,3,1)</f>
        <v>N</v>
      </c>
    </row>
    <row r="543" spans="1:9" x14ac:dyDescent="0.45">
      <c r="A543" s="1">
        <v>42546</v>
      </c>
      <c r="B543">
        <v>131730.83499999999</v>
      </c>
      <c r="C543">
        <v>99.763250799999994</v>
      </c>
      <c r="D543" s="2">
        <v>5.6</v>
      </c>
      <c r="E543" s="2">
        <v>12.7</v>
      </c>
      <c r="F543" s="2">
        <v>8.8000000000000007</v>
      </c>
      <c r="G543" s="2">
        <v>2</v>
      </c>
      <c r="H543" s="2" t="str">
        <f>VLOOKUP(A543,Holidays!$A$2:$B$2107,2,1)</f>
        <v>N</v>
      </c>
      <c r="I543" s="2" t="str">
        <f>VLOOKUP(A543,Holidays!$A$2:$C$2107,3,1)</f>
        <v>N</v>
      </c>
    </row>
    <row r="544" spans="1:9" x14ac:dyDescent="0.45">
      <c r="A544" s="1">
        <v>42547</v>
      </c>
      <c r="B544">
        <v>126455.935</v>
      </c>
      <c r="C544">
        <v>120.4411006</v>
      </c>
      <c r="D544" s="2">
        <v>3</v>
      </c>
      <c r="E544" s="2">
        <v>11.1</v>
      </c>
      <c r="F544" s="2">
        <v>7.7</v>
      </c>
      <c r="G544" s="2">
        <v>0.2</v>
      </c>
      <c r="H544" s="2" t="str">
        <f>VLOOKUP(A544,Holidays!$A$2:$B$2107,2,1)</f>
        <v>N</v>
      </c>
      <c r="I544" s="2" t="str">
        <f>VLOOKUP(A544,Holidays!$A$2:$C$2107,3,1)</f>
        <v>N</v>
      </c>
    </row>
    <row r="545" spans="1:9" x14ac:dyDescent="0.45">
      <c r="A545" s="1">
        <v>42548</v>
      </c>
      <c r="B545">
        <v>148639.995</v>
      </c>
      <c r="C545">
        <v>127.3466076</v>
      </c>
      <c r="D545" s="2">
        <v>4.8</v>
      </c>
      <c r="E545" s="2">
        <v>10.6</v>
      </c>
      <c r="F545" s="2">
        <v>4.7</v>
      </c>
      <c r="G545" s="2">
        <v>0.2</v>
      </c>
      <c r="H545" s="2" t="str">
        <f>VLOOKUP(A545,Holidays!$A$2:$B$2107,2,1)</f>
        <v>N</v>
      </c>
      <c r="I545" s="2" t="str">
        <f>VLOOKUP(A545,Holidays!$A$2:$C$2107,3,1)</f>
        <v>N</v>
      </c>
    </row>
    <row r="546" spans="1:9" x14ac:dyDescent="0.45">
      <c r="A546" s="1">
        <v>42549</v>
      </c>
      <c r="B546">
        <v>142146.31</v>
      </c>
      <c r="C546">
        <v>110.28039029999999</v>
      </c>
      <c r="D546" s="2">
        <v>5</v>
      </c>
      <c r="E546" s="2">
        <v>17</v>
      </c>
      <c r="F546" s="2">
        <v>7.8</v>
      </c>
      <c r="G546" s="2">
        <v>0.2</v>
      </c>
      <c r="H546" s="2" t="str">
        <f>VLOOKUP(A546,Holidays!$A$2:$B$2107,2,1)</f>
        <v>N</v>
      </c>
      <c r="I546" s="2" t="str">
        <f>VLOOKUP(A546,Holidays!$A$2:$C$2107,3,1)</f>
        <v>N</v>
      </c>
    </row>
    <row r="547" spans="1:9" x14ac:dyDescent="0.45">
      <c r="A547" s="1">
        <v>42550</v>
      </c>
      <c r="B547">
        <v>136071.965</v>
      </c>
      <c r="C547">
        <v>80.125243080000004</v>
      </c>
      <c r="D547" s="2">
        <v>8.9</v>
      </c>
      <c r="E547" s="2">
        <v>15.8</v>
      </c>
      <c r="F547" s="2">
        <v>8.9</v>
      </c>
      <c r="G547" s="2">
        <v>0.2</v>
      </c>
      <c r="H547" s="2" t="str">
        <f>VLOOKUP(A547,Holidays!$A$2:$B$2107,2,1)</f>
        <v>N</v>
      </c>
      <c r="I547" s="2" t="str">
        <f>VLOOKUP(A547,Holidays!$A$2:$C$2107,3,1)</f>
        <v>N</v>
      </c>
    </row>
    <row r="548" spans="1:9" x14ac:dyDescent="0.45">
      <c r="A548" s="1">
        <v>42551</v>
      </c>
      <c r="B548">
        <v>141078.46</v>
      </c>
      <c r="C548">
        <v>115.1178955</v>
      </c>
      <c r="D548" s="2">
        <v>10.3</v>
      </c>
      <c r="E548" s="2">
        <v>11.7</v>
      </c>
      <c r="F548" s="2">
        <v>5.6</v>
      </c>
      <c r="G548" s="2">
        <v>0</v>
      </c>
      <c r="H548" s="2" t="str">
        <f>VLOOKUP(A548,Holidays!$A$2:$B$2107,2,1)</f>
        <v>N</v>
      </c>
      <c r="I548" s="2" t="str">
        <f>VLOOKUP(A548,Holidays!$A$2:$C$2107,3,1)</f>
        <v>N</v>
      </c>
    </row>
    <row r="549" spans="1:9" x14ac:dyDescent="0.45">
      <c r="A549" s="1">
        <v>42552</v>
      </c>
      <c r="B549">
        <v>136676.715</v>
      </c>
      <c r="C549">
        <v>117.7120479</v>
      </c>
      <c r="D549" s="2">
        <v>7.3</v>
      </c>
      <c r="E549" s="2">
        <v>14.1</v>
      </c>
      <c r="F549" s="2">
        <v>7.1</v>
      </c>
      <c r="G549" s="2">
        <v>6.4</v>
      </c>
      <c r="H549" s="2" t="str">
        <f>VLOOKUP(A549,Holidays!$A$2:$B$2107,2,1)</f>
        <v>N</v>
      </c>
      <c r="I549" s="2" t="str">
        <f>VLOOKUP(A549,Holidays!$A$2:$C$2107,3,1)</f>
        <v>N</v>
      </c>
    </row>
    <row r="550" spans="1:9" x14ac:dyDescent="0.45">
      <c r="A550" s="1">
        <v>42553</v>
      </c>
      <c r="B550">
        <v>118683.565</v>
      </c>
      <c r="C550">
        <v>90.456523779999998</v>
      </c>
      <c r="D550" s="2">
        <v>9.9</v>
      </c>
      <c r="E550" s="2">
        <v>16.5</v>
      </c>
      <c r="F550" s="2">
        <v>6.7</v>
      </c>
      <c r="G550" s="2">
        <v>0.2</v>
      </c>
      <c r="H550" s="2" t="str">
        <f>VLOOKUP(A550,Holidays!$A$2:$B$2107,2,1)</f>
        <v>N</v>
      </c>
      <c r="I550" s="2" t="str">
        <f>VLOOKUP(A550,Holidays!$A$2:$C$2107,3,1)</f>
        <v>N</v>
      </c>
    </row>
    <row r="551" spans="1:9" x14ac:dyDescent="0.45">
      <c r="A551" s="1">
        <v>42554</v>
      </c>
      <c r="B551">
        <v>112556.405</v>
      </c>
      <c r="C551">
        <v>68.597089170000004</v>
      </c>
      <c r="D551" s="2">
        <v>10.9</v>
      </c>
      <c r="E551" s="2">
        <v>16.7</v>
      </c>
      <c r="F551" s="2">
        <v>7.8</v>
      </c>
      <c r="G551" s="2">
        <v>0</v>
      </c>
      <c r="H551" s="2" t="str">
        <f>VLOOKUP(A551,Holidays!$A$2:$B$2107,2,1)</f>
        <v>N</v>
      </c>
      <c r="I551" s="2" t="str">
        <f>VLOOKUP(A551,Holidays!$A$2:$C$2107,3,1)</f>
        <v>N</v>
      </c>
    </row>
    <row r="552" spans="1:9" x14ac:dyDescent="0.45">
      <c r="A552" s="1">
        <v>42555</v>
      </c>
      <c r="B552">
        <v>135712.245</v>
      </c>
      <c r="C552">
        <v>124.1368856</v>
      </c>
      <c r="D552" s="2">
        <v>10.4</v>
      </c>
      <c r="E552" s="2">
        <v>12.7</v>
      </c>
      <c r="F552" s="2">
        <v>3.6</v>
      </c>
      <c r="G552" s="2">
        <v>0</v>
      </c>
      <c r="H552" s="2" t="str">
        <f>VLOOKUP(A552,Holidays!$A$2:$B$2107,2,1)</f>
        <v>N</v>
      </c>
      <c r="I552" s="2" t="str">
        <f>VLOOKUP(A552,Holidays!$A$2:$C$2107,3,1)</f>
        <v>N</v>
      </c>
    </row>
    <row r="553" spans="1:9" x14ac:dyDescent="0.45">
      <c r="A553" s="1">
        <v>42556</v>
      </c>
      <c r="B553">
        <v>142401.79500000001</v>
      </c>
      <c r="C553">
        <v>147.1876919</v>
      </c>
      <c r="D553" s="2">
        <v>8.1999999999999993</v>
      </c>
      <c r="E553" s="2">
        <v>12.8</v>
      </c>
      <c r="F553" s="2">
        <v>1.8</v>
      </c>
      <c r="G553" s="2">
        <v>0.6</v>
      </c>
      <c r="H553" s="2" t="str">
        <f>VLOOKUP(A553,Holidays!$A$2:$B$2107,2,1)</f>
        <v>N</v>
      </c>
      <c r="I553" s="2" t="str">
        <f>VLOOKUP(A553,Holidays!$A$2:$C$2107,3,1)</f>
        <v>N</v>
      </c>
    </row>
    <row r="554" spans="1:9" x14ac:dyDescent="0.45">
      <c r="A554" s="1">
        <v>42557</v>
      </c>
      <c r="B554">
        <v>134056.095</v>
      </c>
      <c r="C554">
        <v>116.6821116</v>
      </c>
      <c r="D554" s="2">
        <v>9.8000000000000007</v>
      </c>
      <c r="E554" s="2">
        <v>13</v>
      </c>
      <c r="F554" s="2">
        <v>4.5999999999999996</v>
      </c>
      <c r="G554" s="2">
        <v>22.6</v>
      </c>
      <c r="H554" s="2" t="str">
        <f>VLOOKUP(A554,Holidays!$A$2:$B$2107,2,1)</f>
        <v>N</v>
      </c>
      <c r="I554" s="2" t="str">
        <f>VLOOKUP(A554,Holidays!$A$2:$C$2107,3,1)</f>
        <v>N</v>
      </c>
    </row>
    <row r="555" spans="1:9" x14ac:dyDescent="0.45">
      <c r="A555" s="1">
        <v>42558</v>
      </c>
      <c r="B555">
        <v>138768.04500000001</v>
      </c>
      <c r="C555">
        <v>176.91203619999999</v>
      </c>
      <c r="D555" s="2">
        <v>10.5</v>
      </c>
      <c r="E555" s="2">
        <v>13.7</v>
      </c>
      <c r="F555" s="2">
        <v>4.0999999999999996</v>
      </c>
      <c r="G555" s="2">
        <v>3.8</v>
      </c>
      <c r="H555" s="2" t="str">
        <f>VLOOKUP(A555,Holidays!$A$2:$B$2107,2,1)</f>
        <v>N</v>
      </c>
      <c r="I555" s="2" t="str">
        <f>VLOOKUP(A555,Holidays!$A$2:$C$2107,3,1)</f>
        <v>N</v>
      </c>
    </row>
    <row r="556" spans="1:9" x14ac:dyDescent="0.45">
      <c r="A556" s="1">
        <v>42559</v>
      </c>
      <c r="B556">
        <v>136690.04999999999</v>
      </c>
      <c r="C556">
        <v>114.84420299999999</v>
      </c>
      <c r="D556" s="2">
        <v>9.6999999999999993</v>
      </c>
      <c r="E556" s="2">
        <v>15.3</v>
      </c>
      <c r="F556" s="2">
        <v>7.4</v>
      </c>
      <c r="G556" s="2">
        <v>0.8</v>
      </c>
      <c r="H556" s="2" t="str">
        <f>VLOOKUP(A556,Holidays!$A$2:$B$2107,2,1)</f>
        <v>N</v>
      </c>
      <c r="I556" s="2" t="str">
        <f>VLOOKUP(A556,Holidays!$A$2:$C$2107,3,1)</f>
        <v>N</v>
      </c>
    </row>
    <row r="557" spans="1:9" x14ac:dyDescent="0.45">
      <c r="A557" s="1">
        <v>42560</v>
      </c>
      <c r="B557">
        <v>122369.535</v>
      </c>
      <c r="C557">
        <v>105.54857610000001</v>
      </c>
      <c r="D557" s="2">
        <v>5.3</v>
      </c>
      <c r="E557" s="2">
        <v>15.2</v>
      </c>
      <c r="F557" s="2">
        <v>9.5</v>
      </c>
      <c r="G557" s="2">
        <v>0.2</v>
      </c>
      <c r="H557" s="2" t="str">
        <f>VLOOKUP(A557,Holidays!$A$2:$B$2107,2,1)</f>
        <v>N</v>
      </c>
      <c r="I557" s="2" t="str">
        <f>VLOOKUP(A557,Holidays!$A$2:$C$2107,3,1)</f>
        <v>N</v>
      </c>
    </row>
    <row r="558" spans="1:9" x14ac:dyDescent="0.45">
      <c r="A558" s="1">
        <v>42561</v>
      </c>
      <c r="B558">
        <v>119218.23</v>
      </c>
      <c r="C558">
        <v>36.167212329999998</v>
      </c>
      <c r="D558" s="2">
        <v>6.5</v>
      </c>
      <c r="E558" s="2">
        <v>14.2</v>
      </c>
      <c r="F558" s="2">
        <v>3.6</v>
      </c>
      <c r="G558" s="2">
        <v>0</v>
      </c>
      <c r="H558" s="2" t="str">
        <f>VLOOKUP(A558,Holidays!$A$2:$B$2107,2,1)</f>
        <v>N</v>
      </c>
      <c r="I558" s="2" t="str">
        <f>VLOOKUP(A558,Holidays!$A$2:$C$2107,3,1)</f>
        <v>N</v>
      </c>
    </row>
    <row r="559" spans="1:9" x14ac:dyDescent="0.45">
      <c r="A559" s="1">
        <v>42562</v>
      </c>
      <c r="B559">
        <v>128207.125</v>
      </c>
      <c r="C559">
        <v>44.858080039999997</v>
      </c>
      <c r="D559" s="2">
        <v>8.3000000000000007</v>
      </c>
      <c r="E559" s="2">
        <v>16</v>
      </c>
      <c r="F559" s="2">
        <v>7.6</v>
      </c>
      <c r="G559" s="2">
        <v>3.6</v>
      </c>
      <c r="H559" s="2" t="str">
        <f>VLOOKUP(A559,Holidays!$A$2:$B$2107,2,1)</f>
        <v>N</v>
      </c>
      <c r="I559" s="2" t="str">
        <f>VLOOKUP(A559,Holidays!$A$2:$C$2107,3,1)</f>
        <v>N</v>
      </c>
    </row>
    <row r="560" spans="1:9" x14ac:dyDescent="0.45">
      <c r="A560" s="1">
        <v>42563</v>
      </c>
      <c r="B560">
        <v>137582.19500000001</v>
      </c>
      <c r="C560">
        <v>49.159485719999999</v>
      </c>
      <c r="D560" s="2">
        <v>10.7</v>
      </c>
      <c r="E560" s="2">
        <v>13.7</v>
      </c>
      <c r="F560" s="2">
        <v>8.1</v>
      </c>
      <c r="G560" s="2">
        <v>0</v>
      </c>
      <c r="H560" s="2" t="str">
        <f>VLOOKUP(A560,Holidays!$A$2:$B$2107,2,1)</f>
        <v>Y</v>
      </c>
      <c r="I560" s="2" t="str">
        <f>VLOOKUP(A560,Holidays!$A$2:$C$2107,3,1)</f>
        <v>N</v>
      </c>
    </row>
    <row r="561" spans="1:9" x14ac:dyDescent="0.45">
      <c r="A561" s="1">
        <v>42564</v>
      </c>
      <c r="B561">
        <v>145728.26</v>
      </c>
      <c r="C561">
        <v>65.914964920000003</v>
      </c>
      <c r="D561" s="2">
        <v>4.5</v>
      </c>
      <c r="E561" s="2">
        <v>12</v>
      </c>
      <c r="F561" s="2">
        <v>9</v>
      </c>
      <c r="G561" s="2">
        <v>0.4</v>
      </c>
      <c r="H561" s="2" t="str">
        <f>VLOOKUP(A561,Holidays!$A$2:$B$2107,2,1)</f>
        <v>Y</v>
      </c>
      <c r="I561" s="2" t="str">
        <f>VLOOKUP(A561,Holidays!$A$2:$C$2107,3,1)</f>
        <v>N</v>
      </c>
    </row>
    <row r="562" spans="1:9" x14ac:dyDescent="0.45">
      <c r="A562" s="1">
        <v>42565</v>
      </c>
      <c r="B562">
        <v>144103.70499999999</v>
      </c>
      <c r="C562">
        <v>76.117452619999995</v>
      </c>
      <c r="D562" s="2">
        <v>6.6</v>
      </c>
      <c r="E562" s="2">
        <v>14</v>
      </c>
      <c r="F562" s="2">
        <v>7.8</v>
      </c>
      <c r="G562" s="2">
        <v>1</v>
      </c>
      <c r="H562" s="2" t="str">
        <f>VLOOKUP(A562,Holidays!$A$2:$B$2107,2,1)</f>
        <v>Y</v>
      </c>
      <c r="I562" s="2" t="str">
        <f>VLOOKUP(A562,Holidays!$A$2:$C$2107,3,1)</f>
        <v>N</v>
      </c>
    </row>
    <row r="563" spans="1:9" x14ac:dyDescent="0.45">
      <c r="A563" s="1">
        <v>42566</v>
      </c>
      <c r="B563">
        <v>141166.85</v>
      </c>
      <c r="C563">
        <v>79.507600479999994</v>
      </c>
      <c r="D563" s="2">
        <v>8.8000000000000007</v>
      </c>
      <c r="E563" s="2">
        <v>14.1</v>
      </c>
      <c r="F563" s="2">
        <v>7.2</v>
      </c>
      <c r="G563" s="2">
        <v>0</v>
      </c>
      <c r="H563" s="2" t="str">
        <f>VLOOKUP(A563,Holidays!$A$2:$B$2107,2,1)</f>
        <v>Y</v>
      </c>
      <c r="I563" s="2" t="str">
        <f>VLOOKUP(A563,Holidays!$A$2:$C$2107,3,1)</f>
        <v>N</v>
      </c>
    </row>
    <row r="564" spans="1:9" x14ac:dyDescent="0.45">
      <c r="A564" s="1">
        <v>42567</v>
      </c>
      <c r="B564">
        <v>120659.15</v>
      </c>
      <c r="C564">
        <v>73.694418769999999</v>
      </c>
      <c r="D564" s="2">
        <v>7.8</v>
      </c>
      <c r="E564" s="2">
        <v>13.7</v>
      </c>
      <c r="F564" s="2">
        <v>10.199999999999999</v>
      </c>
      <c r="G564" s="2">
        <v>0</v>
      </c>
      <c r="H564" s="2" t="str">
        <f>VLOOKUP(A564,Holidays!$A$2:$B$2107,2,1)</f>
        <v>Y</v>
      </c>
      <c r="I564" s="2" t="str">
        <f>VLOOKUP(A564,Holidays!$A$2:$C$2107,3,1)</f>
        <v>N</v>
      </c>
    </row>
    <row r="565" spans="1:9" x14ac:dyDescent="0.45">
      <c r="A565" s="1">
        <v>42568</v>
      </c>
      <c r="B565">
        <v>113418.125</v>
      </c>
      <c r="C565">
        <v>48.788405300000001</v>
      </c>
      <c r="D565" s="2">
        <v>3.1</v>
      </c>
      <c r="E565" s="2">
        <v>16.100000000000001</v>
      </c>
      <c r="F565" s="2">
        <v>10.3</v>
      </c>
      <c r="G565" s="2">
        <v>0</v>
      </c>
      <c r="H565" s="2" t="str">
        <f>VLOOKUP(A565,Holidays!$A$2:$B$2107,2,1)</f>
        <v>Y</v>
      </c>
      <c r="I565" s="2" t="str">
        <f>VLOOKUP(A565,Holidays!$A$2:$C$2107,3,1)</f>
        <v>N</v>
      </c>
    </row>
    <row r="566" spans="1:9" x14ac:dyDescent="0.45">
      <c r="A566" s="1">
        <v>42569</v>
      </c>
      <c r="B566">
        <v>127367.015</v>
      </c>
      <c r="C566">
        <v>43.891518699999999</v>
      </c>
      <c r="D566" s="2">
        <v>9.6</v>
      </c>
      <c r="E566" s="2">
        <v>17.7</v>
      </c>
      <c r="F566" s="2">
        <v>8.8000000000000007</v>
      </c>
      <c r="G566" s="2">
        <v>0</v>
      </c>
      <c r="H566" s="2" t="str">
        <f>VLOOKUP(A566,Holidays!$A$2:$B$2107,2,1)</f>
        <v>Y</v>
      </c>
      <c r="I566" s="2" t="str">
        <f>VLOOKUP(A566,Holidays!$A$2:$C$2107,3,1)</f>
        <v>N</v>
      </c>
    </row>
    <row r="567" spans="1:9" x14ac:dyDescent="0.45">
      <c r="A567" s="1">
        <v>42570</v>
      </c>
      <c r="B567">
        <v>137028.04999999999</v>
      </c>
      <c r="C567">
        <v>49.453789790000002</v>
      </c>
      <c r="D567" s="2">
        <v>12.6</v>
      </c>
      <c r="E567" s="2">
        <v>16</v>
      </c>
      <c r="F567" s="2">
        <v>5.7</v>
      </c>
      <c r="G567" s="2">
        <v>0</v>
      </c>
      <c r="H567" s="2" t="str">
        <f>VLOOKUP(A567,Holidays!$A$2:$B$2107,2,1)</f>
        <v>Y</v>
      </c>
      <c r="I567" s="2" t="str">
        <f>VLOOKUP(A567,Holidays!$A$2:$C$2107,3,1)</f>
        <v>N</v>
      </c>
    </row>
    <row r="568" spans="1:9" x14ac:dyDescent="0.45">
      <c r="A568" s="1">
        <v>42571</v>
      </c>
      <c r="B568">
        <v>136850.14000000001</v>
      </c>
      <c r="C568">
        <v>52.331551939999997</v>
      </c>
      <c r="D568" s="2">
        <v>9.8000000000000007</v>
      </c>
      <c r="E568" s="2">
        <v>16.100000000000001</v>
      </c>
      <c r="F568" s="2">
        <v>9.1999999999999993</v>
      </c>
      <c r="G568" s="2">
        <v>1.8</v>
      </c>
      <c r="H568" s="2" t="str">
        <f>VLOOKUP(A568,Holidays!$A$2:$B$2107,2,1)</f>
        <v>Y</v>
      </c>
      <c r="I568" s="2" t="str">
        <f>VLOOKUP(A568,Holidays!$A$2:$C$2107,3,1)</f>
        <v>N</v>
      </c>
    </row>
    <row r="569" spans="1:9" x14ac:dyDescent="0.45">
      <c r="A569" s="1">
        <v>42572</v>
      </c>
      <c r="B569">
        <v>136127.125</v>
      </c>
      <c r="C569">
        <v>44.92653284</v>
      </c>
      <c r="D569" s="2">
        <v>6.9</v>
      </c>
      <c r="E569" s="2">
        <v>18.100000000000001</v>
      </c>
      <c r="F569" s="2">
        <v>7.4</v>
      </c>
      <c r="G569" s="2">
        <v>1.8</v>
      </c>
      <c r="H569" s="2" t="str">
        <f>VLOOKUP(A569,Holidays!$A$2:$B$2107,2,1)</f>
        <v>Y</v>
      </c>
      <c r="I569" s="2" t="str">
        <f>VLOOKUP(A569,Holidays!$A$2:$C$2107,3,1)</f>
        <v>N</v>
      </c>
    </row>
    <row r="570" spans="1:9" x14ac:dyDescent="0.45">
      <c r="A570" s="1">
        <v>42573</v>
      </c>
      <c r="B570">
        <v>128777.82</v>
      </c>
      <c r="C570">
        <v>21.091718870000001</v>
      </c>
      <c r="D570" s="2">
        <v>9.1999999999999993</v>
      </c>
      <c r="E570" s="2">
        <v>18.3</v>
      </c>
      <c r="F570" s="2">
        <v>5.0999999999999996</v>
      </c>
      <c r="G570" s="2">
        <v>7.8</v>
      </c>
      <c r="H570" s="2" t="str">
        <f>VLOOKUP(A570,Holidays!$A$2:$B$2107,2,1)</f>
        <v>Y</v>
      </c>
      <c r="I570" s="2" t="str">
        <f>VLOOKUP(A570,Holidays!$A$2:$C$2107,3,1)</f>
        <v>N</v>
      </c>
    </row>
    <row r="571" spans="1:9" x14ac:dyDescent="0.45">
      <c r="A571" s="1">
        <v>42574</v>
      </c>
      <c r="B571">
        <v>119888.575</v>
      </c>
      <c r="C571">
        <v>62.709286929999998</v>
      </c>
      <c r="D571" s="2">
        <v>7.5</v>
      </c>
      <c r="E571" s="2">
        <v>11.6</v>
      </c>
      <c r="F571" s="2">
        <v>9</v>
      </c>
      <c r="G571" s="2">
        <v>2.8</v>
      </c>
      <c r="H571" s="2" t="str">
        <f>VLOOKUP(A571,Holidays!$A$2:$B$2107,2,1)</f>
        <v>Y</v>
      </c>
      <c r="I571" s="2" t="str">
        <f>VLOOKUP(A571,Holidays!$A$2:$C$2107,3,1)</f>
        <v>N</v>
      </c>
    </row>
    <row r="572" spans="1:9" x14ac:dyDescent="0.45">
      <c r="A572" s="1">
        <v>42575</v>
      </c>
      <c r="B572">
        <v>120126.905</v>
      </c>
      <c r="C572">
        <v>52.227008529999999</v>
      </c>
      <c r="D572" s="2">
        <v>4.7</v>
      </c>
      <c r="E572" s="2">
        <v>11.4</v>
      </c>
      <c r="F572" s="2">
        <v>10.3</v>
      </c>
      <c r="G572" s="2">
        <v>0.8</v>
      </c>
      <c r="H572" s="2" t="str">
        <f>VLOOKUP(A572,Holidays!$A$2:$B$2107,2,1)</f>
        <v>Y</v>
      </c>
      <c r="I572" s="2" t="str">
        <f>VLOOKUP(A572,Holidays!$A$2:$C$2107,3,1)</f>
        <v>N</v>
      </c>
    </row>
    <row r="573" spans="1:9" x14ac:dyDescent="0.45">
      <c r="A573" s="1">
        <v>42576</v>
      </c>
      <c r="B573">
        <v>138134.63500000001</v>
      </c>
      <c r="C573">
        <v>37.980186609999997</v>
      </c>
      <c r="D573" s="2">
        <v>6.3</v>
      </c>
      <c r="E573" s="2">
        <v>14.3</v>
      </c>
      <c r="F573" s="2">
        <v>7.5</v>
      </c>
      <c r="G573" s="2">
        <v>0</v>
      </c>
      <c r="H573" s="2" t="str">
        <f>VLOOKUP(A573,Holidays!$A$2:$B$2107,2,1)</f>
        <v>Y</v>
      </c>
      <c r="I573" s="2" t="str">
        <f>VLOOKUP(A573,Holidays!$A$2:$C$2107,3,1)</f>
        <v>N</v>
      </c>
    </row>
    <row r="574" spans="1:9" x14ac:dyDescent="0.45">
      <c r="A574" s="1">
        <v>42577</v>
      </c>
      <c r="B574">
        <v>146465.69</v>
      </c>
      <c r="C574">
        <v>47.971245959999997</v>
      </c>
      <c r="D574" s="2">
        <v>6.5</v>
      </c>
      <c r="E574" s="2">
        <v>11</v>
      </c>
      <c r="F574" s="2">
        <v>7.2</v>
      </c>
      <c r="G574" s="2">
        <v>4.8</v>
      </c>
      <c r="H574" s="2" t="str">
        <f>VLOOKUP(A574,Holidays!$A$2:$B$2107,2,1)</f>
        <v>Y</v>
      </c>
      <c r="I574" s="2" t="str">
        <f>VLOOKUP(A574,Holidays!$A$2:$C$2107,3,1)</f>
        <v>N</v>
      </c>
    </row>
    <row r="575" spans="1:9" x14ac:dyDescent="0.45">
      <c r="A575" s="1">
        <v>42578</v>
      </c>
      <c r="B575">
        <v>143209.755</v>
      </c>
      <c r="C575">
        <v>36.397462779999998</v>
      </c>
      <c r="D575" s="2">
        <v>7.5</v>
      </c>
      <c r="E575" s="2">
        <v>12.9</v>
      </c>
      <c r="F575" s="2">
        <v>6.9</v>
      </c>
      <c r="G575" s="2">
        <v>0.4</v>
      </c>
      <c r="H575" s="2" t="str">
        <f>VLOOKUP(A575,Holidays!$A$2:$B$2107,2,1)</f>
        <v>Y</v>
      </c>
      <c r="I575" s="2" t="str">
        <f>VLOOKUP(A575,Holidays!$A$2:$C$2107,3,1)</f>
        <v>N</v>
      </c>
    </row>
    <row r="576" spans="1:9" x14ac:dyDescent="0.45">
      <c r="A576" s="1">
        <v>42579</v>
      </c>
      <c r="B576">
        <v>142341.63500000001</v>
      </c>
      <c r="C576">
        <v>41.561898749999997</v>
      </c>
      <c r="D576" s="2">
        <v>6.9</v>
      </c>
      <c r="E576" s="2">
        <v>15.2</v>
      </c>
      <c r="F576" s="2">
        <v>6.3</v>
      </c>
      <c r="G576" s="2">
        <v>0</v>
      </c>
      <c r="H576" s="2" t="str">
        <f>VLOOKUP(A576,Holidays!$A$2:$B$2107,2,1)</f>
        <v>Y</v>
      </c>
      <c r="I576" s="2" t="str">
        <f>VLOOKUP(A576,Holidays!$A$2:$C$2107,3,1)</f>
        <v>N</v>
      </c>
    </row>
    <row r="577" spans="1:9" x14ac:dyDescent="0.45">
      <c r="A577" s="1">
        <v>42580</v>
      </c>
      <c r="B577">
        <v>139822.93</v>
      </c>
      <c r="C577">
        <v>33.869681919999998</v>
      </c>
      <c r="D577" s="2">
        <v>10.199999999999999</v>
      </c>
      <c r="E577" s="2">
        <v>15.3</v>
      </c>
      <c r="F577" s="2">
        <v>5</v>
      </c>
      <c r="G577" s="2">
        <v>0</v>
      </c>
      <c r="H577" s="2" t="str">
        <f>VLOOKUP(A577,Holidays!$A$2:$B$2107,2,1)</f>
        <v>Y</v>
      </c>
      <c r="I577" s="2" t="str">
        <f>VLOOKUP(A577,Holidays!$A$2:$C$2107,3,1)</f>
        <v>N</v>
      </c>
    </row>
    <row r="578" spans="1:9" x14ac:dyDescent="0.45">
      <c r="A578" s="1">
        <v>42581</v>
      </c>
      <c r="B578">
        <v>121548.535</v>
      </c>
      <c r="C578">
        <v>24.849528429999999</v>
      </c>
      <c r="D578" s="2">
        <v>9.1</v>
      </c>
      <c r="E578" s="2">
        <v>13.8</v>
      </c>
      <c r="F578" s="2">
        <v>8.5</v>
      </c>
      <c r="G578" s="2">
        <v>2.4</v>
      </c>
      <c r="H578" s="2" t="str">
        <f>VLOOKUP(A578,Holidays!$A$2:$B$2107,2,1)</f>
        <v>Y</v>
      </c>
      <c r="I578" s="2" t="str">
        <f>VLOOKUP(A578,Holidays!$A$2:$C$2107,3,1)</f>
        <v>N</v>
      </c>
    </row>
    <row r="579" spans="1:9" x14ac:dyDescent="0.45">
      <c r="A579" s="1">
        <v>42582</v>
      </c>
      <c r="B579">
        <v>114481.28</v>
      </c>
      <c r="C579">
        <v>33.778252090000002</v>
      </c>
      <c r="D579" s="2">
        <v>10.3</v>
      </c>
      <c r="E579" s="2">
        <v>17</v>
      </c>
      <c r="F579" s="2">
        <v>11.3</v>
      </c>
      <c r="G579" s="2">
        <v>2</v>
      </c>
      <c r="H579" s="2" t="str">
        <f>VLOOKUP(A579,Holidays!$A$2:$B$2107,2,1)</f>
        <v>Y</v>
      </c>
      <c r="I579" s="2" t="str">
        <f>VLOOKUP(A579,Holidays!$A$2:$C$2107,3,1)</f>
        <v>N</v>
      </c>
    </row>
    <row r="580" spans="1:9" x14ac:dyDescent="0.45">
      <c r="A580" s="1">
        <v>42583</v>
      </c>
      <c r="B580">
        <v>137934.845</v>
      </c>
      <c r="C580">
        <v>45.979129370000003</v>
      </c>
      <c r="D580" s="2">
        <v>11.2</v>
      </c>
      <c r="E580" s="2">
        <v>14.4</v>
      </c>
      <c r="F580" s="2">
        <v>5.2</v>
      </c>
      <c r="G580" s="2">
        <v>2.8</v>
      </c>
      <c r="H580" s="2" t="str">
        <f>VLOOKUP(A580,Holidays!$A$2:$B$2107,2,1)</f>
        <v>Y</v>
      </c>
      <c r="I580" s="2" t="str">
        <f>VLOOKUP(A580,Holidays!$A$2:$C$2107,3,1)</f>
        <v>N</v>
      </c>
    </row>
    <row r="581" spans="1:9" x14ac:dyDescent="0.45">
      <c r="A581" s="1">
        <v>42584</v>
      </c>
      <c r="B581">
        <v>137301.69</v>
      </c>
      <c r="C581">
        <v>48.597990580000001</v>
      </c>
      <c r="D581" s="2">
        <v>8.5</v>
      </c>
      <c r="E581" s="2">
        <v>13.4</v>
      </c>
      <c r="F581" s="2">
        <v>11.2</v>
      </c>
      <c r="G581" s="2">
        <v>14.4</v>
      </c>
      <c r="H581" s="2" t="str">
        <f>VLOOKUP(A581,Holidays!$A$2:$B$2107,2,1)</f>
        <v>Y</v>
      </c>
      <c r="I581" s="2" t="str">
        <f>VLOOKUP(A581,Holidays!$A$2:$C$2107,3,1)</f>
        <v>N</v>
      </c>
    </row>
    <row r="582" spans="1:9" x14ac:dyDescent="0.45">
      <c r="A582" s="1">
        <v>42585</v>
      </c>
      <c r="B582">
        <v>140922.715</v>
      </c>
      <c r="C582">
        <v>58.029549359999997</v>
      </c>
      <c r="D582" s="2">
        <v>8.6999999999999993</v>
      </c>
      <c r="E582" s="2">
        <v>12.8</v>
      </c>
      <c r="F582" s="2">
        <v>8.4</v>
      </c>
      <c r="G582" s="2">
        <v>2.8</v>
      </c>
      <c r="H582" s="2" t="str">
        <f>VLOOKUP(A582,Holidays!$A$2:$B$2107,2,1)</f>
        <v>Y</v>
      </c>
      <c r="I582" s="2" t="str">
        <f>VLOOKUP(A582,Holidays!$A$2:$C$2107,3,1)</f>
        <v>N</v>
      </c>
    </row>
    <row r="583" spans="1:9" x14ac:dyDescent="0.45">
      <c r="A583" s="1">
        <v>42586</v>
      </c>
      <c r="B583">
        <v>142671.51</v>
      </c>
      <c r="C583">
        <v>51.565282189999998</v>
      </c>
      <c r="D583" s="2">
        <v>4.9000000000000004</v>
      </c>
      <c r="E583" s="2">
        <v>14.6</v>
      </c>
      <c r="F583" s="2">
        <v>11.1</v>
      </c>
      <c r="G583" s="2">
        <v>0.8</v>
      </c>
      <c r="H583" s="2" t="str">
        <f>VLOOKUP(A583,Holidays!$A$2:$B$2107,2,1)</f>
        <v>Y</v>
      </c>
      <c r="I583" s="2" t="str">
        <f>VLOOKUP(A583,Holidays!$A$2:$C$2107,3,1)</f>
        <v>N</v>
      </c>
    </row>
    <row r="584" spans="1:9" x14ac:dyDescent="0.45">
      <c r="A584" s="1">
        <v>42587</v>
      </c>
      <c r="B584">
        <v>145491.32999999999</v>
      </c>
      <c r="C584">
        <v>70.203116499999993</v>
      </c>
      <c r="D584" s="2">
        <v>3.4</v>
      </c>
      <c r="E584" s="2">
        <v>14.6</v>
      </c>
      <c r="F584" s="2">
        <v>8.6999999999999993</v>
      </c>
      <c r="G584" s="2">
        <v>0</v>
      </c>
      <c r="H584" s="2" t="str">
        <f>VLOOKUP(A584,Holidays!$A$2:$B$2107,2,1)</f>
        <v>Y</v>
      </c>
      <c r="I584" s="2" t="str">
        <f>VLOOKUP(A584,Holidays!$A$2:$C$2107,3,1)</f>
        <v>N</v>
      </c>
    </row>
    <row r="585" spans="1:9" x14ac:dyDescent="0.45">
      <c r="A585" s="1">
        <v>42588</v>
      </c>
      <c r="B585">
        <v>130907.095</v>
      </c>
      <c r="C585">
        <v>54.398078300000002</v>
      </c>
      <c r="D585" s="2">
        <v>5.8</v>
      </c>
      <c r="E585" s="2">
        <v>14.4</v>
      </c>
      <c r="F585" s="2">
        <v>7</v>
      </c>
      <c r="G585" s="2">
        <v>0</v>
      </c>
      <c r="H585" s="2" t="str">
        <f>VLOOKUP(A585,Holidays!$A$2:$B$2107,2,1)</f>
        <v>Y</v>
      </c>
      <c r="I585" s="2" t="str">
        <f>VLOOKUP(A585,Holidays!$A$2:$C$2107,3,1)</f>
        <v>N</v>
      </c>
    </row>
    <row r="586" spans="1:9" x14ac:dyDescent="0.45">
      <c r="A586" s="1">
        <v>42589</v>
      </c>
      <c r="B586">
        <v>120379.285</v>
      </c>
      <c r="C586">
        <v>32.884789920000003</v>
      </c>
      <c r="D586" s="2">
        <v>7.6</v>
      </c>
      <c r="E586" s="2">
        <v>16.600000000000001</v>
      </c>
      <c r="F586" s="2">
        <v>10.4</v>
      </c>
      <c r="G586" s="2">
        <v>0</v>
      </c>
      <c r="H586" s="2" t="str">
        <f>VLOOKUP(A586,Holidays!$A$2:$B$2107,2,1)</f>
        <v>Y</v>
      </c>
      <c r="I586" s="2" t="str">
        <f>VLOOKUP(A586,Holidays!$A$2:$C$2107,3,1)</f>
        <v>N</v>
      </c>
    </row>
    <row r="587" spans="1:9" x14ac:dyDescent="0.45">
      <c r="A587" s="1">
        <v>42590</v>
      </c>
      <c r="B587">
        <v>138506.45000000001</v>
      </c>
      <c r="C587">
        <v>35.117820729999998</v>
      </c>
      <c r="D587" s="2">
        <v>5</v>
      </c>
      <c r="E587" s="2">
        <v>14.2</v>
      </c>
      <c r="F587" s="2">
        <v>8</v>
      </c>
      <c r="G587" s="2">
        <v>0</v>
      </c>
      <c r="H587" s="2" t="str">
        <f>VLOOKUP(A587,Holidays!$A$2:$B$2107,2,1)</f>
        <v>Y</v>
      </c>
      <c r="I587" s="2" t="str">
        <f>VLOOKUP(A587,Holidays!$A$2:$C$2107,3,1)</f>
        <v>N</v>
      </c>
    </row>
    <row r="588" spans="1:9" x14ac:dyDescent="0.45">
      <c r="A588" s="1">
        <v>42591</v>
      </c>
      <c r="B588">
        <v>132819.535</v>
      </c>
      <c r="C588">
        <v>29.293519740000001</v>
      </c>
      <c r="D588" s="2">
        <v>9.6999999999999993</v>
      </c>
      <c r="E588" s="2">
        <v>18.899999999999999</v>
      </c>
      <c r="F588" s="2">
        <v>7.8</v>
      </c>
      <c r="G588" s="2">
        <v>0</v>
      </c>
      <c r="H588" s="2" t="str">
        <f>VLOOKUP(A588,Holidays!$A$2:$B$2107,2,1)</f>
        <v>Y</v>
      </c>
      <c r="I588" s="2" t="str">
        <f>VLOOKUP(A588,Holidays!$A$2:$C$2107,3,1)</f>
        <v>N</v>
      </c>
    </row>
    <row r="589" spans="1:9" x14ac:dyDescent="0.45">
      <c r="A589" s="1">
        <v>42592</v>
      </c>
      <c r="B589">
        <v>130616.67</v>
      </c>
      <c r="C589">
        <v>22.419440789999999</v>
      </c>
      <c r="D589" s="2">
        <v>9.6</v>
      </c>
      <c r="E589" s="2">
        <v>15.3</v>
      </c>
      <c r="F589" s="2">
        <v>11.3</v>
      </c>
      <c r="G589" s="2">
        <v>0</v>
      </c>
      <c r="H589" s="2" t="str">
        <f>VLOOKUP(A589,Holidays!$A$2:$B$2107,2,1)</f>
        <v>Y</v>
      </c>
      <c r="I589" s="2" t="str">
        <f>VLOOKUP(A589,Holidays!$A$2:$C$2107,3,1)</f>
        <v>N</v>
      </c>
    </row>
    <row r="590" spans="1:9" x14ac:dyDescent="0.45">
      <c r="A590" s="1">
        <v>42593</v>
      </c>
      <c r="B590">
        <v>138368.4</v>
      </c>
      <c r="C590">
        <v>39.806463620000002</v>
      </c>
      <c r="D590" s="2">
        <v>6.8</v>
      </c>
      <c r="E590" s="2">
        <v>15.7</v>
      </c>
      <c r="F590" s="2">
        <v>10.3</v>
      </c>
      <c r="G590" s="2">
        <v>8.1999999999999993</v>
      </c>
      <c r="H590" s="2" t="str">
        <f>VLOOKUP(A590,Holidays!$A$2:$B$2107,2,1)</f>
        <v>Y</v>
      </c>
      <c r="I590" s="2" t="str">
        <f>VLOOKUP(A590,Holidays!$A$2:$C$2107,3,1)</f>
        <v>N</v>
      </c>
    </row>
    <row r="591" spans="1:9" x14ac:dyDescent="0.45">
      <c r="A591" s="1">
        <v>42594</v>
      </c>
      <c r="B591">
        <v>134885.67000000001</v>
      </c>
      <c r="C591">
        <v>41.092200069999997</v>
      </c>
      <c r="D591" s="2">
        <v>7.7</v>
      </c>
      <c r="E591" s="2">
        <v>14.1</v>
      </c>
      <c r="F591" s="2">
        <v>11.7</v>
      </c>
      <c r="G591" s="2">
        <v>0</v>
      </c>
      <c r="H591" s="2" t="str">
        <f>VLOOKUP(A591,Holidays!$A$2:$B$2107,2,1)</f>
        <v>Y</v>
      </c>
      <c r="I591" s="2" t="str">
        <f>VLOOKUP(A591,Holidays!$A$2:$C$2107,3,1)</f>
        <v>N</v>
      </c>
    </row>
    <row r="592" spans="1:9" x14ac:dyDescent="0.45">
      <c r="A592" s="1">
        <v>42595</v>
      </c>
      <c r="B592">
        <v>120382.80499999999</v>
      </c>
      <c r="C592">
        <v>38.810956079999997</v>
      </c>
      <c r="D592" s="2">
        <v>7.9</v>
      </c>
      <c r="E592" s="2">
        <v>15.1</v>
      </c>
      <c r="F592" s="2">
        <v>9.5</v>
      </c>
      <c r="G592" s="2">
        <v>1.6</v>
      </c>
      <c r="H592" s="2" t="str">
        <f>VLOOKUP(A592,Holidays!$A$2:$B$2107,2,1)</f>
        <v>Y</v>
      </c>
      <c r="I592" s="2" t="str">
        <f>VLOOKUP(A592,Holidays!$A$2:$C$2107,3,1)</f>
        <v>N</v>
      </c>
    </row>
    <row r="593" spans="1:9" x14ac:dyDescent="0.45">
      <c r="A593" s="1">
        <v>42596</v>
      </c>
      <c r="B593">
        <v>113066.245</v>
      </c>
      <c r="C593">
        <v>33.061160000000001</v>
      </c>
      <c r="D593" s="2">
        <v>8.5</v>
      </c>
      <c r="E593" s="2">
        <v>18.7</v>
      </c>
      <c r="F593" s="2">
        <v>11.6</v>
      </c>
      <c r="G593" s="2">
        <v>0.2</v>
      </c>
      <c r="H593" s="2" t="str">
        <f>VLOOKUP(A593,Holidays!$A$2:$B$2107,2,1)</f>
        <v>Y</v>
      </c>
      <c r="I593" s="2" t="str">
        <f>VLOOKUP(A593,Holidays!$A$2:$C$2107,3,1)</f>
        <v>N</v>
      </c>
    </row>
    <row r="594" spans="1:9" x14ac:dyDescent="0.45">
      <c r="A594" s="1">
        <v>42597</v>
      </c>
      <c r="B594">
        <v>127906.24000000001</v>
      </c>
      <c r="C594">
        <v>39.838938429999999</v>
      </c>
      <c r="D594" s="2">
        <v>10.199999999999999</v>
      </c>
      <c r="E594" s="2">
        <v>18.100000000000001</v>
      </c>
      <c r="F594" s="2">
        <v>13.4</v>
      </c>
      <c r="G594" s="2">
        <v>0</v>
      </c>
      <c r="H594" s="2" t="str">
        <f>VLOOKUP(A594,Holidays!$A$2:$B$2107,2,1)</f>
        <v>Y</v>
      </c>
      <c r="I594" s="2" t="str">
        <f>VLOOKUP(A594,Holidays!$A$2:$C$2107,3,1)</f>
        <v>N</v>
      </c>
    </row>
    <row r="595" spans="1:9" x14ac:dyDescent="0.45">
      <c r="A595" s="1">
        <v>42598</v>
      </c>
      <c r="B595">
        <v>124975.11</v>
      </c>
      <c r="C595">
        <v>24.453904470000001</v>
      </c>
      <c r="D595" s="2">
        <v>10</v>
      </c>
      <c r="E595" s="2">
        <v>18.2</v>
      </c>
      <c r="F595" s="2">
        <v>13.5</v>
      </c>
      <c r="G595" s="2">
        <v>0</v>
      </c>
      <c r="H595" s="2" t="str">
        <f>VLOOKUP(A595,Holidays!$A$2:$B$2107,2,1)</f>
        <v>Y</v>
      </c>
      <c r="I595" s="2" t="str">
        <f>VLOOKUP(A595,Holidays!$A$2:$C$2107,3,1)</f>
        <v>N</v>
      </c>
    </row>
    <row r="596" spans="1:9" x14ac:dyDescent="0.45">
      <c r="A596" s="1">
        <v>42599</v>
      </c>
      <c r="B596">
        <v>132561.22</v>
      </c>
      <c r="C596">
        <v>40.89160699</v>
      </c>
      <c r="D596" s="2">
        <v>12.5</v>
      </c>
      <c r="E596" s="2">
        <v>15.6</v>
      </c>
      <c r="F596" s="2">
        <v>9.6</v>
      </c>
      <c r="G596" s="2">
        <v>0.4</v>
      </c>
      <c r="H596" s="2" t="str">
        <f>VLOOKUP(A596,Holidays!$A$2:$B$2107,2,1)</f>
        <v>Y</v>
      </c>
      <c r="I596" s="2" t="str">
        <f>VLOOKUP(A596,Holidays!$A$2:$C$2107,3,1)</f>
        <v>N</v>
      </c>
    </row>
    <row r="597" spans="1:9" x14ac:dyDescent="0.45">
      <c r="A597" s="1">
        <v>42600</v>
      </c>
      <c r="B597">
        <v>123434.505</v>
      </c>
      <c r="C597">
        <v>27.471093289999999</v>
      </c>
      <c r="D597" s="2">
        <v>7.1</v>
      </c>
      <c r="E597" s="2">
        <v>21.6</v>
      </c>
      <c r="F597" s="2">
        <v>13.1</v>
      </c>
      <c r="G597" s="2">
        <v>0</v>
      </c>
      <c r="H597" s="2" t="str">
        <f>VLOOKUP(A597,Holidays!$A$2:$B$2107,2,1)</f>
        <v>Y</v>
      </c>
      <c r="I597" s="2" t="str">
        <f>VLOOKUP(A597,Holidays!$A$2:$C$2107,3,1)</f>
        <v>N</v>
      </c>
    </row>
    <row r="598" spans="1:9" x14ac:dyDescent="0.45">
      <c r="A598" s="1">
        <v>42601</v>
      </c>
      <c r="B598">
        <v>132569.74</v>
      </c>
      <c r="C598">
        <v>27.60134081</v>
      </c>
      <c r="D598" s="2">
        <v>15.3</v>
      </c>
      <c r="E598" s="2">
        <v>16.399999999999999</v>
      </c>
      <c r="F598" s="2">
        <v>2.7</v>
      </c>
      <c r="G598" s="2">
        <v>0.2</v>
      </c>
      <c r="H598" s="2" t="str">
        <f>VLOOKUP(A598,Holidays!$A$2:$B$2107,2,1)</f>
        <v>Y</v>
      </c>
      <c r="I598" s="2" t="str">
        <f>VLOOKUP(A598,Holidays!$A$2:$C$2107,3,1)</f>
        <v>N</v>
      </c>
    </row>
    <row r="599" spans="1:9" x14ac:dyDescent="0.45">
      <c r="A599" s="1">
        <v>42602</v>
      </c>
      <c r="B599">
        <v>121052.06</v>
      </c>
      <c r="C599">
        <v>25.002466940000001</v>
      </c>
      <c r="D599" s="2">
        <v>6.9</v>
      </c>
      <c r="E599" s="2">
        <v>13.6</v>
      </c>
      <c r="F599" s="2">
        <v>9.6999999999999993</v>
      </c>
      <c r="G599" s="2">
        <v>9.4</v>
      </c>
      <c r="H599" s="2" t="str">
        <f>VLOOKUP(A599,Holidays!$A$2:$B$2107,2,1)</f>
        <v>Y</v>
      </c>
      <c r="I599" s="2" t="str">
        <f>VLOOKUP(A599,Holidays!$A$2:$C$2107,3,1)</f>
        <v>N</v>
      </c>
    </row>
    <row r="600" spans="1:9" x14ac:dyDescent="0.45">
      <c r="A600" s="1">
        <v>42603</v>
      </c>
      <c r="B600">
        <v>119118.545</v>
      </c>
      <c r="C600">
        <v>38.913255630000002</v>
      </c>
      <c r="D600" s="2">
        <v>9.5</v>
      </c>
      <c r="E600" s="2">
        <v>14.8</v>
      </c>
      <c r="F600" s="2">
        <v>7</v>
      </c>
      <c r="G600" s="2">
        <v>1.2</v>
      </c>
      <c r="H600" s="2" t="str">
        <f>VLOOKUP(A600,Holidays!$A$2:$B$2107,2,1)</f>
        <v>Y</v>
      </c>
      <c r="I600" s="2" t="str">
        <f>VLOOKUP(A600,Holidays!$A$2:$C$2107,3,1)</f>
        <v>N</v>
      </c>
    </row>
    <row r="601" spans="1:9" x14ac:dyDescent="0.45">
      <c r="A601" s="1">
        <v>42604</v>
      </c>
      <c r="B601">
        <v>139203.5</v>
      </c>
      <c r="C601">
        <v>59.995340669999997</v>
      </c>
      <c r="D601" s="2">
        <v>7.8</v>
      </c>
      <c r="E601" s="2">
        <v>16</v>
      </c>
      <c r="F601" s="2">
        <v>8.6999999999999993</v>
      </c>
      <c r="G601" s="2">
        <v>5.6</v>
      </c>
      <c r="H601" s="2" t="str">
        <f>VLOOKUP(A601,Holidays!$A$2:$B$2107,2,1)</f>
        <v>Y</v>
      </c>
      <c r="I601" s="2" t="str">
        <f>VLOOKUP(A601,Holidays!$A$2:$C$2107,3,1)</f>
        <v>N</v>
      </c>
    </row>
    <row r="602" spans="1:9" x14ac:dyDescent="0.45">
      <c r="A602" s="1">
        <v>42605</v>
      </c>
      <c r="B602">
        <v>138640.39000000001</v>
      </c>
      <c r="C602">
        <v>73.189593709999997</v>
      </c>
      <c r="D602" s="2">
        <v>7</v>
      </c>
      <c r="E602" s="2">
        <v>13.4</v>
      </c>
      <c r="F602" s="2">
        <v>14.2</v>
      </c>
      <c r="G602" s="2">
        <v>11</v>
      </c>
      <c r="H602" s="2" t="str">
        <f>VLOOKUP(A602,Holidays!$A$2:$B$2107,2,1)</f>
        <v>Y</v>
      </c>
      <c r="I602" s="2" t="str">
        <f>VLOOKUP(A602,Holidays!$A$2:$C$2107,3,1)</f>
        <v>N</v>
      </c>
    </row>
    <row r="603" spans="1:9" x14ac:dyDescent="0.45">
      <c r="A603" s="1">
        <v>42606</v>
      </c>
      <c r="B603">
        <v>141122.79500000001</v>
      </c>
      <c r="C603">
        <v>114.0039598</v>
      </c>
      <c r="D603" s="2">
        <v>3.7</v>
      </c>
      <c r="E603" s="2">
        <v>12.7</v>
      </c>
      <c r="F603" s="2">
        <v>14</v>
      </c>
      <c r="G603" s="2">
        <v>0</v>
      </c>
      <c r="H603" s="2" t="str">
        <f>VLOOKUP(A603,Holidays!$A$2:$B$2107,2,1)</f>
        <v>Y</v>
      </c>
      <c r="I603" s="2" t="str">
        <f>VLOOKUP(A603,Holidays!$A$2:$C$2107,3,1)</f>
        <v>N</v>
      </c>
    </row>
    <row r="604" spans="1:9" x14ac:dyDescent="0.45">
      <c r="A604" s="1">
        <v>42607</v>
      </c>
      <c r="B604">
        <v>139724.02499999999</v>
      </c>
      <c r="C604">
        <v>74.663055139999997</v>
      </c>
      <c r="D604" s="2">
        <v>6.5</v>
      </c>
      <c r="E604" s="2">
        <v>13</v>
      </c>
      <c r="F604" s="2">
        <v>13.5</v>
      </c>
      <c r="G604" s="2">
        <v>1.2</v>
      </c>
      <c r="H604" s="2" t="str">
        <f>VLOOKUP(A604,Holidays!$A$2:$B$2107,2,1)</f>
        <v>Y</v>
      </c>
      <c r="I604" s="2" t="str">
        <f>VLOOKUP(A604,Holidays!$A$2:$C$2107,3,1)</f>
        <v>N</v>
      </c>
    </row>
    <row r="605" spans="1:9" x14ac:dyDescent="0.45">
      <c r="A605" s="1">
        <v>42608</v>
      </c>
      <c r="B605">
        <v>139920.54500000001</v>
      </c>
      <c r="C605">
        <v>67.627753299999995</v>
      </c>
      <c r="D605" s="2">
        <v>7.2</v>
      </c>
      <c r="E605" s="2">
        <v>14.4</v>
      </c>
      <c r="F605" s="2">
        <v>8.8000000000000007</v>
      </c>
      <c r="G605" s="2">
        <v>0.6</v>
      </c>
      <c r="H605" s="2" t="str">
        <f>VLOOKUP(A605,Holidays!$A$2:$B$2107,2,1)</f>
        <v>Y</v>
      </c>
      <c r="I605" s="2" t="str">
        <f>VLOOKUP(A605,Holidays!$A$2:$C$2107,3,1)</f>
        <v>N</v>
      </c>
    </row>
    <row r="606" spans="1:9" x14ac:dyDescent="0.45">
      <c r="A606" s="1">
        <v>42609</v>
      </c>
      <c r="B606">
        <v>119573.22</v>
      </c>
      <c r="C606">
        <v>31.80817961</v>
      </c>
      <c r="D606" s="2">
        <v>9.3000000000000007</v>
      </c>
      <c r="E606" s="2">
        <v>16.3</v>
      </c>
      <c r="F606" s="2">
        <v>11.7</v>
      </c>
      <c r="G606" s="2">
        <v>0</v>
      </c>
      <c r="H606" s="2" t="str">
        <f>VLOOKUP(A606,Holidays!$A$2:$B$2107,2,1)</f>
        <v>Y</v>
      </c>
      <c r="I606" s="2" t="str">
        <f>VLOOKUP(A606,Holidays!$A$2:$C$2107,3,1)</f>
        <v>N</v>
      </c>
    </row>
    <row r="607" spans="1:9" x14ac:dyDescent="0.45">
      <c r="A607" s="1">
        <v>42610</v>
      </c>
      <c r="B607">
        <v>114832.425</v>
      </c>
      <c r="C607">
        <v>29.447681029999998</v>
      </c>
      <c r="D607" s="2">
        <v>10.5</v>
      </c>
      <c r="E607" s="2">
        <v>19</v>
      </c>
      <c r="F607" s="2">
        <v>12.2</v>
      </c>
      <c r="G607" s="2">
        <v>0</v>
      </c>
      <c r="H607" s="2" t="str">
        <f>VLOOKUP(A607,Holidays!$A$2:$B$2107,2,1)</f>
        <v>Y</v>
      </c>
      <c r="I607" s="2" t="str">
        <f>VLOOKUP(A607,Holidays!$A$2:$C$2107,3,1)</f>
        <v>N</v>
      </c>
    </row>
    <row r="608" spans="1:9" x14ac:dyDescent="0.45">
      <c r="A608" s="1">
        <v>42611</v>
      </c>
      <c r="B608">
        <v>125055.69</v>
      </c>
      <c r="C608">
        <v>39.142378899999997</v>
      </c>
      <c r="D608" s="2">
        <v>8.6999999999999993</v>
      </c>
      <c r="E608" s="2">
        <v>20.399999999999999</v>
      </c>
      <c r="F608" s="2">
        <v>14.2</v>
      </c>
      <c r="G608" s="2">
        <v>0</v>
      </c>
      <c r="H608" s="2" t="str">
        <f>VLOOKUP(A608,Holidays!$A$2:$B$2107,2,1)</f>
        <v>Y</v>
      </c>
      <c r="I608" s="2" t="str">
        <f>VLOOKUP(A608,Holidays!$A$2:$C$2107,3,1)</f>
        <v>N</v>
      </c>
    </row>
    <row r="609" spans="1:9" x14ac:dyDescent="0.45">
      <c r="A609" s="1">
        <v>42612</v>
      </c>
      <c r="B609">
        <v>133748.44</v>
      </c>
      <c r="C609">
        <v>53.186931000000001</v>
      </c>
      <c r="D609" s="2">
        <v>10.199999999999999</v>
      </c>
      <c r="E609" s="2">
        <v>16.8</v>
      </c>
      <c r="F609" s="2">
        <v>5.2</v>
      </c>
      <c r="G609" s="2">
        <v>0</v>
      </c>
      <c r="H609" s="2" t="str">
        <f>VLOOKUP(A609,Holidays!$A$2:$B$2107,2,1)</f>
        <v>Y</v>
      </c>
      <c r="I609" s="2" t="str">
        <f>VLOOKUP(A609,Holidays!$A$2:$C$2107,3,1)</f>
        <v>N</v>
      </c>
    </row>
    <row r="610" spans="1:9" x14ac:dyDescent="0.45">
      <c r="A610" s="1">
        <v>42613</v>
      </c>
      <c r="B610">
        <v>128834.065</v>
      </c>
      <c r="C610">
        <v>32.559017400000002</v>
      </c>
      <c r="D610" s="2">
        <v>12.8</v>
      </c>
      <c r="E610" s="2">
        <v>20.2</v>
      </c>
      <c r="F610" s="2">
        <v>10.1</v>
      </c>
      <c r="G610" s="2">
        <v>0.8</v>
      </c>
      <c r="H610" s="2" t="str">
        <f>VLOOKUP(A610,Holidays!$A$2:$B$2107,2,1)</f>
        <v>Y</v>
      </c>
      <c r="I610" s="2" t="str">
        <f>VLOOKUP(A610,Holidays!$A$2:$C$2107,3,1)</f>
        <v>N</v>
      </c>
    </row>
    <row r="611" spans="1:9" x14ac:dyDescent="0.45">
      <c r="A611" s="1">
        <v>42614</v>
      </c>
      <c r="B611">
        <v>134246.16500000001</v>
      </c>
      <c r="C611">
        <v>46.808787860000002</v>
      </c>
      <c r="D611" s="2">
        <v>11.6</v>
      </c>
      <c r="E611" s="2">
        <v>15.5</v>
      </c>
      <c r="F611" s="2">
        <v>8.8000000000000007</v>
      </c>
      <c r="G611" s="2">
        <v>0</v>
      </c>
      <c r="H611" s="2" t="str">
        <f>VLOOKUP(A611,Holidays!$A$2:$B$2107,2,1)</f>
        <v>Y</v>
      </c>
      <c r="I611" s="2" t="str">
        <f>VLOOKUP(A611,Holidays!$A$2:$C$2107,3,1)</f>
        <v>N</v>
      </c>
    </row>
    <row r="612" spans="1:9" x14ac:dyDescent="0.45">
      <c r="A612" s="1">
        <v>42615</v>
      </c>
      <c r="B612">
        <v>135273.32500000001</v>
      </c>
      <c r="C612">
        <v>52.636792880000002</v>
      </c>
      <c r="D612" s="2">
        <v>9.6</v>
      </c>
      <c r="E612" s="2">
        <v>15</v>
      </c>
      <c r="F612" s="2">
        <v>9.6</v>
      </c>
      <c r="G612" s="2">
        <v>0.4</v>
      </c>
      <c r="H612" s="2" t="str">
        <f>VLOOKUP(A612,Holidays!$A$2:$B$2107,2,1)</f>
        <v>Y</v>
      </c>
      <c r="I612" s="2" t="str">
        <f>VLOOKUP(A612,Holidays!$A$2:$C$2107,3,1)</f>
        <v>N</v>
      </c>
    </row>
    <row r="613" spans="1:9" x14ac:dyDescent="0.45">
      <c r="A613" s="1">
        <v>42616</v>
      </c>
      <c r="B613">
        <v>118621.96</v>
      </c>
      <c r="C613">
        <v>35.270782859999997</v>
      </c>
      <c r="D613" s="2">
        <v>10</v>
      </c>
      <c r="E613" s="2">
        <v>15.7</v>
      </c>
      <c r="F613" s="2">
        <v>12.9</v>
      </c>
      <c r="G613" s="2">
        <v>0.2</v>
      </c>
      <c r="H613" s="2" t="str">
        <f>VLOOKUP(A613,Holidays!$A$2:$B$2107,2,1)</f>
        <v>Y</v>
      </c>
      <c r="I613" s="2" t="str">
        <f>VLOOKUP(A613,Holidays!$A$2:$C$2107,3,1)</f>
        <v>N</v>
      </c>
    </row>
    <row r="614" spans="1:9" x14ac:dyDescent="0.45">
      <c r="A614" s="1">
        <v>42617</v>
      </c>
      <c r="B614">
        <v>110986.005</v>
      </c>
      <c r="C614">
        <v>24.51210764</v>
      </c>
      <c r="D614" s="2">
        <v>10.1</v>
      </c>
      <c r="E614" s="2">
        <v>16.899999999999999</v>
      </c>
      <c r="F614" s="2">
        <v>10</v>
      </c>
      <c r="G614" s="2">
        <v>0.2</v>
      </c>
      <c r="H614" s="2" t="str">
        <f>VLOOKUP(A614,Holidays!$A$2:$B$2107,2,1)</f>
        <v>Y</v>
      </c>
      <c r="I614" s="2" t="str">
        <f>VLOOKUP(A614,Holidays!$A$2:$C$2107,3,1)</f>
        <v>N</v>
      </c>
    </row>
    <row r="615" spans="1:9" x14ac:dyDescent="0.45">
      <c r="A615" s="1">
        <v>42618</v>
      </c>
      <c r="B615">
        <v>127275.815</v>
      </c>
      <c r="C615">
        <v>38.212469630000001</v>
      </c>
      <c r="D615" s="2">
        <v>12.8</v>
      </c>
      <c r="E615" s="2">
        <v>18.399999999999999</v>
      </c>
      <c r="F615" s="2">
        <v>11.7</v>
      </c>
      <c r="G615" s="2">
        <v>0</v>
      </c>
      <c r="H615" s="2" t="str">
        <f>VLOOKUP(A615,Holidays!$A$2:$B$2107,2,1)</f>
        <v>Y</v>
      </c>
      <c r="I615" s="2" t="str">
        <f>VLOOKUP(A615,Holidays!$A$2:$C$2107,3,1)</f>
        <v>N</v>
      </c>
    </row>
    <row r="616" spans="1:9" x14ac:dyDescent="0.45">
      <c r="A616" s="1">
        <v>42619</v>
      </c>
      <c r="B616">
        <v>129542.36500000001</v>
      </c>
      <c r="C616">
        <v>28.692645949999999</v>
      </c>
      <c r="D616" s="2">
        <v>9.1999999999999993</v>
      </c>
      <c r="E616" s="2">
        <v>21.5</v>
      </c>
      <c r="F616" s="2">
        <v>15.8</v>
      </c>
      <c r="G616" s="2">
        <v>0</v>
      </c>
      <c r="H616" s="2" t="str">
        <f>VLOOKUP(A616,Holidays!$A$2:$B$2107,2,1)</f>
        <v>Y</v>
      </c>
      <c r="I616" s="2" t="str">
        <f>VLOOKUP(A616,Holidays!$A$2:$C$2107,3,1)</f>
        <v>N</v>
      </c>
    </row>
    <row r="617" spans="1:9" x14ac:dyDescent="0.45">
      <c r="A617" s="1">
        <v>42620</v>
      </c>
      <c r="B617">
        <v>123307.02</v>
      </c>
      <c r="C617">
        <v>24.182421389999998</v>
      </c>
      <c r="D617" s="2">
        <v>9.6</v>
      </c>
      <c r="E617" s="2">
        <v>21</v>
      </c>
      <c r="F617" s="2">
        <v>16.7</v>
      </c>
      <c r="G617" s="2">
        <v>0</v>
      </c>
      <c r="H617" s="2" t="str">
        <f>VLOOKUP(A617,Holidays!$A$2:$B$2107,2,1)</f>
        <v>Y</v>
      </c>
      <c r="I617" s="2" t="str">
        <f>VLOOKUP(A617,Holidays!$A$2:$C$2107,3,1)</f>
        <v>N</v>
      </c>
    </row>
    <row r="618" spans="1:9" x14ac:dyDescent="0.45">
      <c r="A618" s="1">
        <v>42621</v>
      </c>
      <c r="B618">
        <v>117722.95</v>
      </c>
      <c r="C618">
        <v>12.50431916</v>
      </c>
      <c r="D618" s="2">
        <v>13.1</v>
      </c>
      <c r="E618" s="2">
        <v>23.3</v>
      </c>
      <c r="F618" s="2">
        <v>16</v>
      </c>
      <c r="G618" s="2">
        <v>0</v>
      </c>
      <c r="H618" s="2" t="str">
        <f>VLOOKUP(A618,Holidays!$A$2:$B$2107,2,1)</f>
        <v>Y</v>
      </c>
      <c r="I618" s="2" t="str">
        <f>VLOOKUP(A618,Holidays!$A$2:$C$2107,3,1)</f>
        <v>N</v>
      </c>
    </row>
    <row r="619" spans="1:9" x14ac:dyDescent="0.45">
      <c r="A619" s="1">
        <v>42622</v>
      </c>
      <c r="B619">
        <v>125432.605</v>
      </c>
      <c r="C619">
        <v>23.40099927</v>
      </c>
      <c r="D619" s="2">
        <v>16</v>
      </c>
      <c r="E619" s="2">
        <v>16.7</v>
      </c>
      <c r="F619" s="2">
        <v>5.9</v>
      </c>
      <c r="G619" s="2">
        <v>0.6</v>
      </c>
      <c r="H619" s="2" t="str">
        <f>VLOOKUP(A619,Holidays!$A$2:$B$2107,2,1)</f>
        <v>Y</v>
      </c>
      <c r="I619" s="2" t="str">
        <f>VLOOKUP(A619,Holidays!$A$2:$C$2107,3,1)</f>
        <v>N</v>
      </c>
    </row>
    <row r="620" spans="1:9" x14ac:dyDescent="0.45">
      <c r="A620" s="1">
        <v>42623</v>
      </c>
      <c r="B620">
        <v>111412.995</v>
      </c>
      <c r="C620">
        <v>38.559908849999999</v>
      </c>
      <c r="D620" s="2">
        <v>11.5</v>
      </c>
      <c r="E620" s="2">
        <v>14.3</v>
      </c>
      <c r="F620" s="2">
        <v>7.9</v>
      </c>
      <c r="G620" s="2">
        <v>9.4</v>
      </c>
      <c r="H620" s="2" t="str">
        <f>VLOOKUP(A620,Holidays!$A$2:$B$2107,2,1)</f>
        <v>Y</v>
      </c>
      <c r="I620" s="2" t="str">
        <f>VLOOKUP(A620,Holidays!$A$2:$C$2107,3,1)</f>
        <v>N</v>
      </c>
    </row>
    <row r="621" spans="1:9" x14ac:dyDescent="0.45">
      <c r="A621" s="1">
        <v>42624</v>
      </c>
      <c r="B621">
        <v>109125.215</v>
      </c>
      <c r="C621">
        <v>50.347882009999999</v>
      </c>
      <c r="D621" s="2">
        <v>7.3</v>
      </c>
      <c r="E621" s="2">
        <v>17</v>
      </c>
      <c r="F621" s="2">
        <v>11.8</v>
      </c>
      <c r="G621" s="2">
        <v>1.2</v>
      </c>
      <c r="H621" s="2" t="str">
        <f>VLOOKUP(A621,Holidays!$A$2:$B$2107,2,1)</f>
        <v>Y</v>
      </c>
      <c r="I621" s="2" t="str">
        <f>VLOOKUP(A621,Holidays!$A$2:$C$2107,3,1)</f>
        <v>N</v>
      </c>
    </row>
    <row r="622" spans="1:9" x14ac:dyDescent="0.45">
      <c r="A622" s="1">
        <v>42625</v>
      </c>
      <c r="B622">
        <v>130967.28</v>
      </c>
      <c r="C622">
        <v>68.177203239999997</v>
      </c>
      <c r="D622" s="2">
        <v>9.9</v>
      </c>
      <c r="E622" s="2">
        <v>13.6</v>
      </c>
      <c r="F622" s="2">
        <v>7</v>
      </c>
      <c r="G622" s="2">
        <v>1.6</v>
      </c>
      <c r="H622" s="2" t="str">
        <f>VLOOKUP(A622,Holidays!$A$2:$B$2107,2,1)</f>
        <v>Y</v>
      </c>
      <c r="I622" s="2" t="str">
        <f>VLOOKUP(A622,Holidays!$A$2:$C$2107,3,1)</f>
        <v>N</v>
      </c>
    </row>
    <row r="623" spans="1:9" x14ac:dyDescent="0.45">
      <c r="A623" s="1">
        <v>42626</v>
      </c>
      <c r="B623">
        <v>134720.155</v>
      </c>
      <c r="C623">
        <v>62.068475560000003</v>
      </c>
      <c r="D623" s="2">
        <v>9.6</v>
      </c>
      <c r="E623" s="2">
        <v>14.6</v>
      </c>
      <c r="F623" s="2">
        <v>2.8</v>
      </c>
      <c r="G623" s="2">
        <v>9</v>
      </c>
      <c r="H623" s="2" t="str">
        <f>VLOOKUP(A623,Holidays!$A$2:$B$2107,2,1)</f>
        <v>Y</v>
      </c>
      <c r="I623" s="2" t="str">
        <f>VLOOKUP(A623,Holidays!$A$2:$C$2107,3,1)</f>
        <v>N</v>
      </c>
    </row>
    <row r="624" spans="1:9" x14ac:dyDescent="0.45">
      <c r="A624" s="1">
        <v>42627</v>
      </c>
      <c r="B624">
        <v>130650.88</v>
      </c>
      <c r="C624">
        <v>54.840524199999997</v>
      </c>
      <c r="D624" s="2">
        <v>10.5</v>
      </c>
      <c r="E624" s="2">
        <v>16.100000000000001</v>
      </c>
      <c r="F624" s="2">
        <v>13.2</v>
      </c>
      <c r="G624" s="2">
        <v>20.6</v>
      </c>
      <c r="H624" s="2" t="str">
        <f>VLOOKUP(A624,Holidays!$A$2:$B$2107,2,1)</f>
        <v>Y</v>
      </c>
      <c r="I624" s="2" t="str">
        <f>VLOOKUP(A624,Holidays!$A$2:$C$2107,3,1)</f>
        <v>N</v>
      </c>
    </row>
    <row r="625" spans="1:9" x14ac:dyDescent="0.45">
      <c r="A625" s="1">
        <v>42628</v>
      </c>
      <c r="B625">
        <v>134234.45000000001</v>
      </c>
      <c r="C625">
        <v>42.819917580000002</v>
      </c>
      <c r="D625" s="2">
        <v>8.6999999999999993</v>
      </c>
      <c r="E625" s="2">
        <v>14.6</v>
      </c>
      <c r="F625" s="2">
        <v>6.9</v>
      </c>
      <c r="G625" s="2">
        <v>2</v>
      </c>
      <c r="H625" s="2" t="str">
        <f>VLOOKUP(A625,Holidays!$A$2:$B$2107,2,1)</f>
        <v>Y</v>
      </c>
      <c r="I625" s="2" t="str">
        <f>VLOOKUP(A625,Holidays!$A$2:$C$2107,3,1)</f>
        <v>N</v>
      </c>
    </row>
    <row r="626" spans="1:9" x14ac:dyDescent="0.45">
      <c r="A626" s="1">
        <v>42629</v>
      </c>
      <c r="B626">
        <v>131734.10500000001</v>
      </c>
      <c r="C626">
        <v>47.043747310000001</v>
      </c>
      <c r="D626" s="2">
        <v>9</v>
      </c>
      <c r="E626" s="2">
        <v>15.7</v>
      </c>
      <c r="F626" s="2">
        <v>12.5</v>
      </c>
      <c r="G626" s="2">
        <v>13.4</v>
      </c>
      <c r="H626" s="2" t="str">
        <f>VLOOKUP(A626,Holidays!$A$2:$B$2107,2,1)</f>
        <v>N</v>
      </c>
      <c r="I626" s="2" t="str">
        <f>VLOOKUP(A626,Holidays!$A$2:$C$2107,3,1)</f>
        <v>N</v>
      </c>
    </row>
    <row r="627" spans="1:9" x14ac:dyDescent="0.45">
      <c r="A627" s="1">
        <v>42630</v>
      </c>
      <c r="B627">
        <v>106709.54</v>
      </c>
      <c r="C627">
        <v>36.028691260000002</v>
      </c>
      <c r="D627" s="2">
        <v>11.1</v>
      </c>
      <c r="E627" s="2">
        <v>19.8</v>
      </c>
      <c r="F627" s="2">
        <v>18.8</v>
      </c>
      <c r="G627" s="2">
        <v>0</v>
      </c>
      <c r="H627" s="2" t="str">
        <f>VLOOKUP(A627,Holidays!$A$2:$B$2107,2,1)</f>
        <v>N</v>
      </c>
      <c r="I627" s="2" t="str">
        <f>VLOOKUP(A627,Holidays!$A$2:$C$2107,3,1)</f>
        <v>N</v>
      </c>
    </row>
    <row r="628" spans="1:9" x14ac:dyDescent="0.45">
      <c r="A628" s="1">
        <v>42631</v>
      </c>
      <c r="B628">
        <v>110314.625</v>
      </c>
      <c r="C628">
        <v>48.344866349999997</v>
      </c>
      <c r="D628" s="2">
        <v>10.8</v>
      </c>
      <c r="E628" s="2">
        <v>12.5</v>
      </c>
      <c r="F628" s="2">
        <v>5.5</v>
      </c>
      <c r="G628" s="2">
        <v>0.4</v>
      </c>
      <c r="H628" s="2" t="str">
        <f>VLOOKUP(A628,Holidays!$A$2:$B$2107,2,1)</f>
        <v>N</v>
      </c>
      <c r="I628" s="2" t="str">
        <f>VLOOKUP(A628,Holidays!$A$2:$C$2107,3,1)</f>
        <v>N</v>
      </c>
    </row>
    <row r="629" spans="1:9" x14ac:dyDescent="0.45">
      <c r="A629" s="1">
        <v>42632</v>
      </c>
      <c r="B629">
        <v>127391.09</v>
      </c>
      <c r="C629">
        <v>56.44254935</v>
      </c>
      <c r="D629" s="2">
        <v>8.5</v>
      </c>
      <c r="E629" s="2">
        <v>16.3</v>
      </c>
      <c r="F629" s="2">
        <v>16.2</v>
      </c>
      <c r="G629" s="2">
        <v>0.2</v>
      </c>
      <c r="H629" s="2" t="str">
        <f>VLOOKUP(A629,Holidays!$A$2:$B$2107,2,1)</f>
        <v>N</v>
      </c>
      <c r="I629" s="2" t="str">
        <f>VLOOKUP(A629,Holidays!$A$2:$C$2107,3,1)</f>
        <v>N</v>
      </c>
    </row>
    <row r="630" spans="1:9" x14ac:dyDescent="0.45">
      <c r="A630" s="1">
        <v>42633</v>
      </c>
      <c r="B630">
        <v>122664.30499999999</v>
      </c>
      <c r="C630">
        <v>43.177379569999999</v>
      </c>
      <c r="D630" s="2">
        <v>9.1</v>
      </c>
      <c r="E630" s="2">
        <v>18.8</v>
      </c>
      <c r="F630" s="2">
        <v>18.5</v>
      </c>
      <c r="G630" s="2">
        <v>0</v>
      </c>
      <c r="H630" s="2" t="str">
        <f>VLOOKUP(A630,Holidays!$A$2:$B$2107,2,1)</f>
        <v>N</v>
      </c>
      <c r="I630" s="2" t="str">
        <f>VLOOKUP(A630,Holidays!$A$2:$C$2107,3,1)</f>
        <v>N</v>
      </c>
    </row>
    <row r="631" spans="1:9" x14ac:dyDescent="0.45">
      <c r="A631" s="1">
        <v>42634</v>
      </c>
      <c r="B631">
        <v>127208.57</v>
      </c>
      <c r="C631">
        <v>52.28283459</v>
      </c>
      <c r="D631" s="2">
        <v>10.9</v>
      </c>
      <c r="E631" s="2">
        <v>15.2</v>
      </c>
      <c r="F631" s="2">
        <v>8.8000000000000007</v>
      </c>
      <c r="G631" s="2">
        <v>1.2</v>
      </c>
      <c r="H631" s="2" t="str">
        <f>VLOOKUP(A631,Holidays!$A$2:$B$2107,2,1)</f>
        <v>N</v>
      </c>
      <c r="I631" s="2" t="str">
        <f>VLOOKUP(A631,Holidays!$A$2:$C$2107,3,1)</f>
        <v>N</v>
      </c>
    </row>
    <row r="632" spans="1:9" x14ac:dyDescent="0.45">
      <c r="A632" s="1">
        <v>42635</v>
      </c>
      <c r="B632">
        <v>131357.34</v>
      </c>
      <c r="C632">
        <v>55.701872710000004</v>
      </c>
      <c r="D632" s="2">
        <v>9.6</v>
      </c>
      <c r="E632" s="2">
        <v>13.4</v>
      </c>
      <c r="F632" s="2">
        <v>9.9</v>
      </c>
      <c r="G632" s="2">
        <v>1.2</v>
      </c>
      <c r="H632" s="2" t="str">
        <f>VLOOKUP(A632,Holidays!$A$2:$B$2107,2,1)</f>
        <v>N</v>
      </c>
      <c r="I632" s="2" t="str">
        <f>VLOOKUP(A632,Holidays!$A$2:$C$2107,3,1)</f>
        <v>N</v>
      </c>
    </row>
    <row r="633" spans="1:9" x14ac:dyDescent="0.45">
      <c r="A633" s="1">
        <v>42636</v>
      </c>
      <c r="B633">
        <v>127420.43</v>
      </c>
      <c r="C633">
        <v>46.538703269999999</v>
      </c>
      <c r="D633" s="2">
        <v>9.8000000000000007</v>
      </c>
      <c r="E633" s="2">
        <v>16.5</v>
      </c>
      <c r="F633" s="2">
        <v>16.5</v>
      </c>
      <c r="G633" s="2">
        <v>0.6</v>
      </c>
      <c r="H633" s="2" t="str">
        <f>VLOOKUP(A633,Holidays!$A$2:$B$2107,2,1)</f>
        <v>N</v>
      </c>
      <c r="I633" s="2" t="str">
        <f>VLOOKUP(A633,Holidays!$A$2:$C$2107,3,1)</f>
        <v>N</v>
      </c>
    </row>
    <row r="634" spans="1:9" x14ac:dyDescent="0.45">
      <c r="A634" s="1">
        <v>42637</v>
      </c>
      <c r="B634">
        <v>106776.27499999999</v>
      </c>
      <c r="C634">
        <v>43.556599820000002</v>
      </c>
      <c r="D634" s="2">
        <v>10</v>
      </c>
      <c r="E634" s="2">
        <v>20.100000000000001</v>
      </c>
      <c r="F634" s="2">
        <v>18.399999999999999</v>
      </c>
      <c r="G634" s="2">
        <v>0</v>
      </c>
      <c r="H634" s="2" t="str">
        <f>VLOOKUP(A634,Holidays!$A$2:$B$2107,2,1)</f>
        <v>N</v>
      </c>
      <c r="I634" s="2" t="str">
        <f>VLOOKUP(A634,Holidays!$A$2:$C$2107,3,1)</f>
        <v>N</v>
      </c>
    </row>
    <row r="635" spans="1:9" x14ac:dyDescent="0.45">
      <c r="A635" s="1">
        <v>42638</v>
      </c>
      <c r="B635">
        <v>105931.55499999999</v>
      </c>
      <c r="C635">
        <v>37.698479470000002</v>
      </c>
      <c r="D635" s="2">
        <v>9.5</v>
      </c>
      <c r="E635" s="2">
        <v>14.7</v>
      </c>
      <c r="F635" s="2">
        <v>17.100000000000001</v>
      </c>
      <c r="G635" s="2">
        <v>5.8</v>
      </c>
      <c r="H635" s="2" t="str">
        <f>VLOOKUP(A635,Holidays!$A$2:$B$2107,2,1)</f>
        <v>N</v>
      </c>
      <c r="I635" s="2" t="str">
        <f>VLOOKUP(A635,Holidays!$A$2:$C$2107,3,1)</f>
        <v>N</v>
      </c>
    </row>
    <row r="636" spans="1:9" x14ac:dyDescent="0.45">
      <c r="A636" s="1">
        <v>42639</v>
      </c>
      <c r="B636">
        <v>124343.19</v>
      </c>
      <c r="C636">
        <v>47.67147027</v>
      </c>
      <c r="D636" s="2">
        <v>8.1</v>
      </c>
      <c r="E636" s="2">
        <v>16.899999999999999</v>
      </c>
      <c r="F636" s="2">
        <v>13.6</v>
      </c>
      <c r="G636" s="2">
        <v>0.6</v>
      </c>
      <c r="H636" s="2" t="str">
        <f>VLOOKUP(A636,Holidays!$A$2:$B$2107,2,1)</f>
        <v>N</v>
      </c>
      <c r="I636" s="2" t="str">
        <f>VLOOKUP(A636,Holidays!$A$2:$C$2107,3,1)</f>
        <v>N</v>
      </c>
    </row>
    <row r="637" spans="1:9" x14ac:dyDescent="0.45">
      <c r="A637" s="1">
        <v>42640</v>
      </c>
      <c r="B637">
        <v>126888.77</v>
      </c>
      <c r="C637">
        <v>49.794504430000003</v>
      </c>
      <c r="D637" s="2">
        <v>7.4</v>
      </c>
      <c r="E637" s="2">
        <v>14.8</v>
      </c>
      <c r="F637" s="2">
        <v>13.4</v>
      </c>
      <c r="G637" s="2">
        <v>12.6</v>
      </c>
      <c r="H637" s="2" t="str">
        <f>VLOOKUP(A637,Holidays!$A$2:$B$2107,2,1)</f>
        <v>N</v>
      </c>
      <c r="I637" s="2" t="str">
        <f>VLOOKUP(A637,Holidays!$A$2:$C$2107,3,1)</f>
        <v>N</v>
      </c>
    </row>
    <row r="638" spans="1:9" x14ac:dyDescent="0.45">
      <c r="A638" s="1">
        <v>42641</v>
      </c>
      <c r="B638">
        <v>121143.25</v>
      </c>
      <c r="C638">
        <v>32.431714720000002</v>
      </c>
      <c r="D638" s="2">
        <v>7.5</v>
      </c>
      <c r="E638" s="2">
        <v>19.3</v>
      </c>
      <c r="F638" s="2">
        <v>19.600000000000001</v>
      </c>
      <c r="G638" s="2">
        <v>2.2000000000000002</v>
      </c>
      <c r="H638" s="2" t="str">
        <f>VLOOKUP(A638,Holidays!$A$2:$B$2107,2,1)</f>
        <v>N</v>
      </c>
      <c r="I638" s="2" t="str">
        <f>VLOOKUP(A638,Holidays!$A$2:$C$2107,3,1)</f>
        <v>N</v>
      </c>
    </row>
    <row r="639" spans="1:9" x14ac:dyDescent="0.45">
      <c r="A639" s="1">
        <v>42642</v>
      </c>
      <c r="B639">
        <v>122858.49</v>
      </c>
      <c r="C639">
        <v>37.596001049999998</v>
      </c>
      <c r="D639" s="2">
        <v>12.5</v>
      </c>
      <c r="E639" s="2">
        <v>16.7</v>
      </c>
      <c r="F639" s="2">
        <v>16.2</v>
      </c>
      <c r="G639" s="2">
        <v>1.8</v>
      </c>
      <c r="H639" s="2" t="str">
        <f>VLOOKUP(A639,Holidays!$A$2:$B$2107,2,1)</f>
        <v>N</v>
      </c>
      <c r="I639" s="2" t="str">
        <f>VLOOKUP(A639,Holidays!$A$2:$C$2107,3,1)</f>
        <v>N</v>
      </c>
    </row>
    <row r="640" spans="1:9" x14ac:dyDescent="0.45">
      <c r="A640" s="1">
        <v>42643</v>
      </c>
      <c r="B640">
        <v>113439.77499999999</v>
      </c>
      <c r="C640">
        <v>33.063692619999998</v>
      </c>
      <c r="D640" s="2">
        <v>9.3000000000000007</v>
      </c>
      <c r="E640" s="2">
        <v>16.399999999999999</v>
      </c>
      <c r="F640" s="2">
        <v>16.600000000000001</v>
      </c>
      <c r="G640" s="2">
        <v>2</v>
      </c>
      <c r="H640" s="2" t="str">
        <f>VLOOKUP(A640,Holidays!$A$2:$B$2107,2,1)</f>
        <v>N</v>
      </c>
      <c r="I640" s="2" t="str">
        <f>VLOOKUP(A640,Holidays!$A$2:$C$2107,3,1)</f>
        <v>Y</v>
      </c>
    </row>
    <row r="641" spans="1:9" x14ac:dyDescent="0.45">
      <c r="A641" s="1">
        <v>42644</v>
      </c>
      <c r="B641">
        <v>109181.26</v>
      </c>
      <c r="C641">
        <v>20.48609587</v>
      </c>
      <c r="D641" s="2">
        <v>11.6</v>
      </c>
      <c r="E641" s="2">
        <v>18.600000000000001</v>
      </c>
      <c r="F641" s="2">
        <v>11.9</v>
      </c>
      <c r="G641" s="2">
        <v>1.6</v>
      </c>
      <c r="H641" s="2" t="str">
        <f>VLOOKUP(A641,Holidays!$A$2:$B$2107,2,1)</f>
        <v>N</v>
      </c>
      <c r="I641" s="2" t="str">
        <f>VLOOKUP(A641,Holidays!$A$2:$C$2107,3,1)</f>
        <v>N</v>
      </c>
    </row>
    <row r="642" spans="1:9" x14ac:dyDescent="0.45">
      <c r="A642" s="1">
        <v>42645</v>
      </c>
      <c r="B642">
        <v>97992.93</v>
      </c>
      <c r="C642">
        <v>13.656870189999999</v>
      </c>
      <c r="D642" s="2">
        <v>12.1</v>
      </c>
      <c r="E642" s="2">
        <v>24</v>
      </c>
      <c r="F642" s="2">
        <v>18.7</v>
      </c>
      <c r="G642" s="2">
        <v>0</v>
      </c>
      <c r="H642" s="2" t="str">
        <f>VLOOKUP(A642,Holidays!$A$2:$B$2107,2,1)</f>
        <v>N</v>
      </c>
      <c r="I642" s="2" t="str">
        <f>VLOOKUP(A642,Holidays!$A$2:$C$2107,3,1)</f>
        <v>N</v>
      </c>
    </row>
    <row r="643" spans="1:9" x14ac:dyDescent="0.45">
      <c r="A643" s="1">
        <v>42646</v>
      </c>
      <c r="B643">
        <v>115839.01</v>
      </c>
      <c r="C643">
        <v>21.601743630000001</v>
      </c>
      <c r="D643" s="2">
        <v>11.1</v>
      </c>
      <c r="E643" s="2">
        <v>15.9</v>
      </c>
      <c r="F643" s="2">
        <v>13.7</v>
      </c>
      <c r="G643" s="2">
        <v>9.1999999999999993</v>
      </c>
      <c r="H643" s="2" t="str">
        <f>VLOOKUP(A643,Holidays!$A$2:$B$2107,2,1)</f>
        <v>N</v>
      </c>
      <c r="I643" s="2" t="str">
        <f>VLOOKUP(A643,Holidays!$A$2:$C$2107,3,1)</f>
        <v>N</v>
      </c>
    </row>
    <row r="644" spans="1:9" x14ac:dyDescent="0.45">
      <c r="A644" s="1">
        <v>42647</v>
      </c>
      <c r="B644">
        <v>124089.47</v>
      </c>
      <c r="C644">
        <v>23.001781319999999</v>
      </c>
      <c r="D644" s="2">
        <v>10.6</v>
      </c>
      <c r="E644" s="2">
        <v>17.100000000000001</v>
      </c>
      <c r="F644" s="2">
        <v>13.2</v>
      </c>
      <c r="G644" s="2">
        <v>2</v>
      </c>
      <c r="H644" s="2" t="str">
        <f>VLOOKUP(A644,Holidays!$A$2:$B$2107,2,1)</f>
        <v>Y</v>
      </c>
      <c r="I644" s="2" t="str">
        <f>VLOOKUP(A644,Holidays!$A$2:$C$2107,3,1)</f>
        <v>N</v>
      </c>
    </row>
    <row r="645" spans="1:9" x14ac:dyDescent="0.45">
      <c r="A645" s="1">
        <v>42648</v>
      </c>
      <c r="B645">
        <v>128558.38499999999</v>
      </c>
      <c r="C645">
        <v>41.115132719999998</v>
      </c>
      <c r="D645" s="2">
        <v>8</v>
      </c>
      <c r="E645" s="2">
        <v>17.100000000000001</v>
      </c>
      <c r="F645" s="2">
        <v>7.5</v>
      </c>
      <c r="G645" s="2">
        <v>2.8</v>
      </c>
      <c r="H645" s="2" t="str">
        <f>VLOOKUP(A645,Holidays!$A$2:$B$2107,2,1)</f>
        <v>Y</v>
      </c>
      <c r="I645" s="2" t="str">
        <f>VLOOKUP(A645,Holidays!$A$2:$C$2107,3,1)</f>
        <v>N</v>
      </c>
    </row>
    <row r="646" spans="1:9" x14ac:dyDescent="0.45">
      <c r="A646" s="1">
        <v>42649</v>
      </c>
      <c r="B646">
        <v>115898.54</v>
      </c>
      <c r="C646">
        <v>30.189572800000001</v>
      </c>
      <c r="D646" s="2">
        <v>9.6999999999999993</v>
      </c>
      <c r="E646" s="2">
        <v>27.2</v>
      </c>
      <c r="F646" s="2">
        <v>22.6</v>
      </c>
      <c r="G646" s="2">
        <v>0</v>
      </c>
      <c r="H646" s="2" t="str">
        <f>VLOOKUP(A646,Holidays!$A$2:$B$2107,2,1)</f>
        <v>Y</v>
      </c>
      <c r="I646" s="2" t="str">
        <f>VLOOKUP(A646,Holidays!$A$2:$C$2107,3,1)</f>
        <v>N</v>
      </c>
    </row>
    <row r="647" spans="1:9" x14ac:dyDescent="0.45">
      <c r="A647" s="1">
        <v>42650</v>
      </c>
      <c r="B647">
        <v>116197.73</v>
      </c>
      <c r="C647">
        <v>37.339104300000002</v>
      </c>
      <c r="D647" s="2">
        <v>14.1</v>
      </c>
      <c r="E647" s="2">
        <v>22.5</v>
      </c>
      <c r="F647" s="2">
        <v>7.8</v>
      </c>
      <c r="G647" s="2">
        <v>0</v>
      </c>
      <c r="H647" s="2" t="str">
        <f>VLOOKUP(A647,Holidays!$A$2:$B$2107,2,1)</f>
        <v>Y</v>
      </c>
      <c r="I647" s="2" t="str">
        <f>VLOOKUP(A647,Holidays!$A$2:$C$2107,3,1)</f>
        <v>N</v>
      </c>
    </row>
    <row r="648" spans="1:9" x14ac:dyDescent="0.45">
      <c r="A648" s="1">
        <v>42651</v>
      </c>
      <c r="B648">
        <v>101300.77499999999</v>
      </c>
      <c r="C648">
        <v>35.210343819999999</v>
      </c>
      <c r="D648" s="2">
        <v>9.6999999999999993</v>
      </c>
      <c r="E648" s="2">
        <v>16.899999999999999</v>
      </c>
      <c r="F648" s="2">
        <v>23</v>
      </c>
      <c r="G648" s="2">
        <v>0</v>
      </c>
      <c r="H648" s="2" t="str">
        <f>VLOOKUP(A648,Holidays!$A$2:$B$2107,2,1)</f>
        <v>Y</v>
      </c>
      <c r="I648" s="2" t="str">
        <f>VLOOKUP(A648,Holidays!$A$2:$C$2107,3,1)</f>
        <v>N</v>
      </c>
    </row>
    <row r="649" spans="1:9" x14ac:dyDescent="0.45">
      <c r="A649" s="1">
        <v>42652</v>
      </c>
      <c r="B649">
        <v>94954.16</v>
      </c>
      <c r="C649">
        <v>15.90301462</v>
      </c>
      <c r="D649" s="2">
        <v>9.5</v>
      </c>
      <c r="E649" s="2">
        <v>22</v>
      </c>
      <c r="F649" s="2">
        <v>14.1</v>
      </c>
      <c r="G649" s="2">
        <v>0</v>
      </c>
      <c r="H649" s="2" t="str">
        <f>VLOOKUP(A649,Holidays!$A$2:$B$2107,2,1)</f>
        <v>Y</v>
      </c>
      <c r="I649" s="2" t="str">
        <f>VLOOKUP(A649,Holidays!$A$2:$C$2107,3,1)</f>
        <v>N</v>
      </c>
    </row>
    <row r="650" spans="1:9" x14ac:dyDescent="0.45">
      <c r="A650" s="1">
        <v>42653</v>
      </c>
      <c r="B650">
        <v>116831.43</v>
      </c>
      <c r="C650">
        <v>27.654717770000001</v>
      </c>
      <c r="D650" s="2">
        <v>13</v>
      </c>
      <c r="E650" s="2">
        <v>16.8</v>
      </c>
      <c r="F650" s="2">
        <v>18.399999999999999</v>
      </c>
      <c r="G650" s="2">
        <v>0.8</v>
      </c>
      <c r="H650" s="2" t="str">
        <f>VLOOKUP(A650,Holidays!$A$2:$B$2107,2,1)</f>
        <v>Y</v>
      </c>
      <c r="I650" s="2" t="str">
        <f>VLOOKUP(A650,Holidays!$A$2:$C$2107,3,1)</f>
        <v>N</v>
      </c>
    </row>
    <row r="651" spans="1:9" x14ac:dyDescent="0.45">
      <c r="A651" s="1">
        <v>42654</v>
      </c>
      <c r="B651">
        <v>124665.82</v>
      </c>
      <c r="C651">
        <v>38.199945730000003</v>
      </c>
      <c r="D651" s="2">
        <v>7.5</v>
      </c>
      <c r="E651" s="2">
        <v>15.1</v>
      </c>
      <c r="F651" s="2">
        <v>16.7</v>
      </c>
      <c r="G651" s="2">
        <v>1.4</v>
      </c>
      <c r="H651" s="2" t="str">
        <f>VLOOKUP(A651,Holidays!$A$2:$B$2107,2,1)</f>
        <v>Y</v>
      </c>
      <c r="I651" s="2" t="str">
        <f>VLOOKUP(A651,Holidays!$A$2:$C$2107,3,1)</f>
        <v>N</v>
      </c>
    </row>
    <row r="652" spans="1:9" x14ac:dyDescent="0.45">
      <c r="A652" s="1">
        <v>42655</v>
      </c>
      <c r="B652">
        <v>128612.3</v>
      </c>
      <c r="C652">
        <v>44.770645539999997</v>
      </c>
      <c r="D652" s="2">
        <v>10.199999999999999</v>
      </c>
      <c r="E652" s="2">
        <v>15.4</v>
      </c>
      <c r="F652" s="2">
        <v>12.9</v>
      </c>
      <c r="G652" s="2">
        <v>0</v>
      </c>
      <c r="H652" s="2" t="str">
        <f>VLOOKUP(A652,Holidays!$A$2:$B$2107,2,1)</f>
        <v>Y</v>
      </c>
      <c r="I652" s="2" t="str">
        <f>VLOOKUP(A652,Holidays!$A$2:$C$2107,3,1)</f>
        <v>N</v>
      </c>
    </row>
    <row r="653" spans="1:9" x14ac:dyDescent="0.45">
      <c r="A653" s="1">
        <v>42656</v>
      </c>
      <c r="B653">
        <v>128242.765</v>
      </c>
      <c r="C653">
        <v>58.353085180000001</v>
      </c>
      <c r="D653" s="2">
        <v>6.8</v>
      </c>
      <c r="E653" s="2">
        <v>14.6</v>
      </c>
      <c r="F653" s="2">
        <v>22.8</v>
      </c>
      <c r="G653" s="2">
        <v>4.2</v>
      </c>
      <c r="H653" s="2" t="str">
        <f>VLOOKUP(A653,Holidays!$A$2:$B$2107,2,1)</f>
        <v>Y</v>
      </c>
      <c r="I653" s="2" t="str">
        <f>VLOOKUP(A653,Holidays!$A$2:$C$2107,3,1)</f>
        <v>N</v>
      </c>
    </row>
    <row r="654" spans="1:9" x14ac:dyDescent="0.45">
      <c r="A654" s="1">
        <v>42657</v>
      </c>
      <c r="B654">
        <v>121731.485</v>
      </c>
      <c r="C654">
        <v>43.966506600000002</v>
      </c>
      <c r="D654" s="2">
        <v>5.2</v>
      </c>
      <c r="E654" s="2">
        <v>22.7</v>
      </c>
      <c r="F654" s="2">
        <v>24.5</v>
      </c>
      <c r="G654" s="2">
        <v>0.2</v>
      </c>
      <c r="H654" s="2" t="str">
        <f>VLOOKUP(A654,Holidays!$A$2:$B$2107,2,1)</f>
        <v>Y</v>
      </c>
      <c r="I654" s="2" t="str">
        <f>VLOOKUP(A654,Holidays!$A$2:$C$2107,3,1)</f>
        <v>N</v>
      </c>
    </row>
    <row r="655" spans="1:9" x14ac:dyDescent="0.45">
      <c r="A655" s="1">
        <v>42658</v>
      </c>
      <c r="B655">
        <v>97887.485000000001</v>
      </c>
      <c r="C655">
        <v>12.698328739999999</v>
      </c>
      <c r="D655" s="2">
        <v>9.4</v>
      </c>
      <c r="E655" s="2">
        <v>24.8</v>
      </c>
      <c r="F655" s="2">
        <v>21.8</v>
      </c>
      <c r="G655" s="2">
        <v>0</v>
      </c>
      <c r="H655" s="2" t="str">
        <f>VLOOKUP(A655,Holidays!$A$2:$B$2107,2,1)</f>
        <v>Y</v>
      </c>
      <c r="I655" s="2" t="str">
        <f>VLOOKUP(A655,Holidays!$A$2:$C$2107,3,1)</f>
        <v>N</v>
      </c>
    </row>
    <row r="656" spans="1:9" x14ac:dyDescent="0.45">
      <c r="A656" s="1">
        <v>42659</v>
      </c>
      <c r="B656">
        <v>101793.035</v>
      </c>
      <c r="C656">
        <v>22.029095420000001</v>
      </c>
      <c r="D656" s="2">
        <v>17.399999999999999</v>
      </c>
      <c r="E656" s="2">
        <v>23.1</v>
      </c>
      <c r="F656" s="2">
        <v>8</v>
      </c>
      <c r="G656" s="2">
        <v>0</v>
      </c>
      <c r="H656" s="2" t="str">
        <f>VLOOKUP(A656,Holidays!$A$2:$B$2107,2,1)</f>
        <v>Y</v>
      </c>
      <c r="I656" s="2" t="str">
        <f>VLOOKUP(A656,Holidays!$A$2:$C$2107,3,1)</f>
        <v>N</v>
      </c>
    </row>
    <row r="657" spans="1:9" x14ac:dyDescent="0.45">
      <c r="A657" s="1">
        <v>42660</v>
      </c>
      <c r="B657">
        <v>116042.845</v>
      </c>
      <c r="C657">
        <v>29.59668164</v>
      </c>
      <c r="D657" s="2">
        <v>9.8000000000000007</v>
      </c>
      <c r="E657" s="2">
        <v>18.899999999999999</v>
      </c>
      <c r="F657" s="2">
        <v>14.8</v>
      </c>
      <c r="G657" s="2">
        <v>9.8000000000000007</v>
      </c>
      <c r="H657" s="2" t="str">
        <f>VLOOKUP(A657,Holidays!$A$2:$B$2107,2,1)</f>
        <v>Y</v>
      </c>
      <c r="I657" s="2" t="str">
        <f>VLOOKUP(A657,Holidays!$A$2:$C$2107,3,1)</f>
        <v>N</v>
      </c>
    </row>
    <row r="658" spans="1:9" x14ac:dyDescent="0.45">
      <c r="A658" s="1">
        <v>42661</v>
      </c>
      <c r="B658">
        <v>123265.44</v>
      </c>
      <c r="C658">
        <v>36.721212710000003</v>
      </c>
      <c r="D658" s="2">
        <v>9.6</v>
      </c>
      <c r="E658" s="2">
        <v>16.600000000000001</v>
      </c>
      <c r="F658" s="2">
        <v>16.5</v>
      </c>
      <c r="G658" s="2">
        <v>1</v>
      </c>
      <c r="H658" s="2" t="str">
        <f>VLOOKUP(A658,Holidays!$A$2:$B$2107,2,1)</f>
        <v>Y</v>
      </c>
      <c r="I658" s="2" t="str">
        <f>VLOOKUP(A658,Holidays!$A$2:$C$2107,3,1)</f>
        <v>N</v>
      </c>
    </row>
    <row r="659" spans="1:9" x14ac:dyDescent="0.45">
      <c r="A659" s="1">
        <v>42662</v>
      </c>
      <c r="B659">
        <v>126362.045</v>
      </c>
      <c r="C659">
        <v>60.68302782</v>
      </c>
      <c r="D659" s="2">
        <v>7.5</v>
      </c>
      <c r="E659" s="2">
        <v>16.5</v>
      </c>
      <c r="F659" s="2">
        <v>22.1</v>
      </c>
      <c r="G659" s="2">
        <v>2.6</v>
      </c>
      <c r="H659" s="2" t="str">
        <f>VLOOKUP(A659,Holidays!$A$2:$B$2107,2,1)</f>
        <v>Y</v>
      </c>
      <c r="I659" s="2" t="str">
        <f>VLOOKUP(A659,Holidays!$A$2:$C$2107,3,1)</f>
        <v>N</v>
      </c>
    </row>
    <row r="660" spans="1:9" x14ac:dyDescent="0.45">
      <c r="A660" s="1">
        <v>42663</v>
      </c>
      <c r="B660">
        <v>114867.16</v>
      </c>
      <c r="C660">
        <v>27.425826229999998</v>
      </c>
      <c r="D660" s="2">
        <v>6.8</v>
      </c>
      <c r="E660" s="2">
        <v>21.8</v>
      </c>
      <c r="F660" s="2">
        <v>25.6</v>
      </c>
      <c r="G660" s="2">
        <v>0</v>
      </c>
      <c r="H660" s="2" t="str">
        <f>VLOOKUP(A660,Holidays!$A$2:$B$2107,2,1)</f>
        <v>Y</v>
      </c>
      <c r="I660" s="2" t="str">
        <f>VLOOKUP(A660,Holidays!$A$2:$C$2107,3,1)</f>
        <v>N</v>
      </c>
    </row>
    <row r="661" spans="1:9" x14ac:dyDescent="0.45">
      <c r="A661" s="1">
        <v>42664</v>
      </c>
      <c r="B661">
        <v>122975.285</v>
      </c>
      <c r="C661">
        <v>43.244732259999999</v>
      </c>
      <c r="D661" s="2">
        <v>14.8</v>
      </c>
      <c r="E661" s="2">
        <v>17.600000000000001</v>
      </c>
      <c r="F661" s="2">
        <v>1.9</v>
      </c>
      <c r="G661" s="2">
        <v>0</v>
      </c>
      <c r="H661" s="2" t="str">
        <f>VLOOKUP(A661,Holidays!$A$2:$B$2107,2,1)</f>
        <v>Y</v>
      </c>
      <c r="I661" s="2" t="str">
        <f>VLOOKUP(A661,Holidays!$A$2:$C$2107,3,1)</f>
        <v>N</v>
      </c>
    </row>
    <row r="662" spans="1:9" x14ac:dyDescent="0.45">
      <c r="A662" s="1">
        <v>42665</v>
      </c>
      <c r="B662">
        <v>114184.19500000001</v>
      </c>
      <c r="C662">
        <v>38.711130760000003</v>
      </c>
      <c r="D662" s="2">
        <v>6.9</v>
      </c>
      <c r="E662" s="2">
        <v>13.2</v>
      </c>
      <c r="F662" s="2">
        <v>16.899999999999999</v>
      </c>
      <c r="G662" s="2">
        <v>16.399999999999999</v>
      </c>
      <c r="H662" s="2" t="str">
        <f>VLOOKUP(A662,Holidays!$A$2:$B$2107,2,1)</f>
        <v>Y</v>
      </c>
      <c r="I662" s="2" t="str">
        <f>VLOOKUP(A662,Holidays!$A$2:$C$2107,3,1)</f>
        <v>N</v>
      </c>
    </row>
    <row r="663" spans="1:9" x14ac:dyDescent="0.45">
      <c r="A663" s="1">
        <v>42666</v>
      </c>
      <c r="B663">
        <v>111289</v>
      </c>
      <c r="C663">
        <v>40.91855691</v>
      </c>
      <c r="D663" s="2">
        <v>7.9</v>
      </c>
      <c r="E663" s="2">
        <v>14.1</v>
      </c>
      <c r="F663" s="2">
        <v>18.7</v>
      </c>
      <c r="G663" s="2">
        <v>8.8000000000000007</v>
      </c>
      <c r="H663" s="2" t="str">
        <f>VLOOKUP(A663,Holidays!$A$2:$B$2107,2,1)</f>
        <v>Y</v>
      </c>
      <c r="I663" s="2" t="str">
        <f>VLOOKUP(A663,Holidays!$A$2:$C$2107,3,1)</f>
        <v>N</v>
      </c>
    </row>
    <row r="664" spans="1:9" x14ac:dyDescent="0.45">
      <c r="A664" s="1">
        <v>42667</v>
      </c>
      <c r="B664">
        <v>125270.16499999999</v>
      </c>
      <c r="C664">
        <v>66.513366149999996</v>
      </c>
      <c r="D664" s="2">
        <v>9.4</v>
      </c>
      <c r="E664" s="2">
        <v>17.100000000000001</v>
      </c>
      <c r="F664" s="2">
        <v>20.3</v>
      </c>
      <c r="G664" s="2">
        <v>0.4</v>
      </c>
      <c r="H664" s="2" t="str">
        <f>VLOOKUP(A664,Holidays!$A$2:$B$2107,2,1)</f>
        <v>Y</v>
      </c>
      <c r="I664" s="2" t="str">
        <f>VLOOKUP(A664,Holidays!$A$2:$C$2107,3,1)</f>
        <v>N</v>
      </c>
    </row>
    <row r="665" spans="1:9" x14ac:dyDescent="0.45">
      <c r="A665" s="1">
        <v>42668</v>
      </c>
      <c r="B665">
        <v>117138.355</v>
      </c>
      <c r="C665">
        <v>37.022146409999998</v>
      </c>
      <c r="D665" s="2">
        <v>9.6</v>
      </c>
      <c r="E665" s="2">
        <v>25.7</v>
      </c>
      <c r="F665" s="2">
        <v>23.1</v>
      </c>
      <c r="G665" s="2">
        <v>0.2</v>
      </c>
      <c r="H665" s="2" t="str">
        <f>VLOOKUP(A665,Holidays!$A$2:$B$2107,2,1)</f>
        <v>Y</v>
      </c>
      <c r="I665" s="2" t="str">
        <f>VLOOKUP(A665,Holidays!$A$2:$C$2107,3,1)</f>
        <v>N</v>
      </c>
    </row>
    <row r="666" spans="1:9" x14ac:dyDescent="0.45">
      <c r="A666" s="1">
        <v>42669</v>
      </c>
      <c r="B666">
        <v>121605.395</v>
      </c>
      <c r="C666">
        <v>55.416352840000002</v>
      </c>
      <c r="D666" s="2">
        <v>16.5</v>
      </c>
      <c r="E666" s="2">
        <v>18.5</v>
      </c>
      <c r="F666" s="2">
        <v>9</v>
      </c>
      <c r="G666" s="2">
        <v>0</v>
      </c>
      <c r="H666" s="2" t="str">
        <f>VLOOKUP(A666,Holidays!$A$2:$B$2107,2,1)</f>
        <v>Y</v>
      </c>
      <c r="I666" s="2" t="str">
        <f>VLOOKUP(A666,Holidays!$A$2:$C$2107,3,1)</f>
        <v>N</v>
      </c>
    </row>
    <row r="667" spans="1:9" x14ac:dyDescent="0.45">
      <c r="A667" s="1">
        <v>42670</v>
      </c>
      <c r="B667">
        <v>120142.43</v>
      </c>
      <c r="C667">
        <v>43.480540499999996</v>
      </c>
      <c r="D667" s="2">
        <v>10.1</v>
      </c>
      <c r="E667" s="2">
        <v>15.4</v>
      </c>
      <c r="F667" s="2">
        <v>25.8</v>
      </c>
      <c r="G667" s="2">
        <v>0.2</v>
      </c>
      <c r="H667" s="2" t="str">
        <f>VLOOKUP(A667,Holidays!$A$2:$B$2107,2,1)</f>
        <v>Y</v>
      </c>
      <c r="I667" s="2" t="str">
        <f>VLOOKUP(A667,Holidays!$A$2:$C$2107,3,1)</f>
        <v>N</v>
      </c>
    </row>
    <row r="668" spans="1:9" x14ac:dyDescent="0.45">
      <c r="A668" s="1">
        <v>42671</v>
      </c>
      <c r="B668">
        <v>119820.71</v>
      </c>
      <c r="C668">
        <v>54.509745119999998</v>
      </c>
      <c r="D668" s="2">
        <v>6.3</v>
      </c>
      <c r="E668" s="2">
        <v>16.600000000000001</v>
      </c>
      <c r="F668" s="2">
        <v>26.5</v>
      </c>
      <c r="G668" s="2">
        <v>0</v>
      </c>
      <c r="H668" s="2" t="str">
        <f>VLOOKUP(A668,Holidays!$A$2:$B$2107,2,1)</f>
        <v>Y</v>
      </c>
      <c r="I668" s="2" t="str">
        <f>VLOOKUP(A668,Holidays!$A$2:$C$2107,3,1)</f>
        <v>N</v>
      </c>
    </row>
    <row r="669" spans="1:9" x14ac:dyDescent="0.45">
      <c r="A669" s="1">
        <v>42672</v>
      </c>
      <c r="B669">
        <v>104191.105</v>
      </c>
      <c r="C669">
        <v>21.28564824</v>
      </c>
      <c r="D669" s="2">
        <v>9.3000000000000007</v>
      </c>
      <c r="E669" s="2">
        <v>25.6</v>
      </c>
      <c r="F669" s="2">
        <v>25.8</v>
      </c>
      <c r="G669" s="2">
        <v>0</v>
      </c>
      <c r="H669" s="2" t="str">
        <f>VLOOKUP(A669,Holidays!$A$2:$B$2107,2,1)</f>
        <v>Y</v>
      </c>
      <c r="I669" s="2" t="str">
        <f>VLOOKUP(A669,Holidays!$A$2:$C$2107,3,1)</f>
        <v>N</v>
      </c>
    </row>
    <row r="670" spans="1:9" x14ac:dyDescent="0.45">
      <c r="A670" s="1">
        <v>42673</v>
      </c>
      <c r="B670">
        <v>94325.72</v>
      </c>
      <c r="C670">
        <v>6.8691345049999999</v>
      </c>
      <c r="D670" s="2">
        <v>12.7</v>
      </c>
      <c r="E670" s="2">
        <v>28</v>
      </c>
      <c r="F670" s="2">
        <v>19.5</v>
      </c>
      <c r="G670" s="2">
        <v>0</v>
      </c>
      <c r="H670" s="2" t="str">
        <f>VLOOKUP(A670,Holidays!$A$2:$B$2107,2,1)</f>
        <v>Y</v>
      </c>
      <c r="I670" s="2" t="str">
        <f>VLOOKUP(A670,Holidays!$A$2:$C$2107,3,1)</f>
        <v>N</v>
      </c>
    </row>
    <row r="671" spans="1:9" x14ac:dyDescent="0.45">
      <c r="A671" s="1">
        <v>42674</v>
      </c>
      <c r="B671">
        <v>110661.43</v>
      </c>
      <c r="C671">
        <v>19.08090112</v>
      </c>
      <c r="D671" s="2">
        <v>7.9</v>
      </c>
      <c r="E671" s="2">
        <v>17.5</v>
      </c>
      <c r="F671" s="2">
        <v>19</v>
      </c>
      <c r="G671" s="2">
        <v>1.8</v>
      </c>
      <c r="H671" s="2" t="str">
        <f>VLOOKUP(A671,Holidays!$A$2:$B$2107,2,1)</f>
        <v>Y</v>
      </c>
      <c r="I671" s="2" t="str">
        <f>VLOOKUP(A671,Holidays!$A$2:$C$2107,3,1)</f>
        <v>N</v>
      </c>
    </row>
    <row r="672" spans="1:9" x14ac:dyDescent="0.45">
      <c r="A672" s="1">
        <v>42675</v>
      </c>
      <c r="B672">
        <v>104976.21</v>
      </c>
      <c r="C672">
        <v>17.418201960000001</v>
      </c>
      <c r="D672" s="2">
        <v>9.4</v>
      </c>
      <c r="E672" s="2">
        <v>18.399999999999999</v>
      </c>
      <c r="F672" s="2">
        <v>17.7</v>
      </c>
      <c r="G672" s="2">
        <v>0.4</v>
      </c>
      <c r="H672" s="2" t="str">
        <f>VLOOKUP(A672,Holidays!$A$2:$B$2107,2,1)</f>
        <v>Y</v>
      </c>
      <c r="I672" s="2" t="str">
        <f>VLOOKUP(A672,Holidays!$A$2:$C$2107,3,1)</f>
        <v>Y</v>
      </c>
    </row>
    <row r="673" spans="1:9" x14ac:dyDescent="0.45">
      <c r="A673" s="1">
        <v>42676</v>
      </c>
      <c r="B673">
        <v>119904.48</v>
      </c>
      <c r="C673">
        <v>46.645669009999999</v>
      </c>
      <c r="D673" s="2">
        <v>9.6999999999999993</v>
      </c>
      <c r="E673" s="2">
        <v>18.5</v>
      </c>
      <c r="F673" s="2">
        <v>13.3</v>
      </c>
      <c r="G673" s="2">
        <v>0.4</v>
      </c>
      <c r="H673" s="2" t="str">
        <f>VLOOKUP(A673,Holidays!$A$2:$B$2107,2,1)</f>
        <v>Y</v>
      </c>
      <c r="I673" s="2" t="str">
        <f>VLOOKUP(A673,Holidays!$A$2:$C$2107,3,1)</f>
        <v>N</v>
      </c>
    </row>
    <row r="674" spans="1:9" x14ac:dyDescent="0.45">
      <c r="A674" s="1">
        <v>42677</v>
      </c>
      <c r="B674">
        <v>118677.495</v>
      </c>
      <c r="C674">
        <v>60.221047589999998</v>
      </c>
      <c r="D674" s="2">
        <v>10</v>
      </c>
      <c r="E674" s="2">
        <v>19.100000000000001</v>
      </c>
      <c r="F674" s="2">
        <v>28</v>
      </c>
      <c r="G674" s="2">
        <v>0</v>
      </c>
      <c r="H674" s="2" t="str">
        <f>VLOOKUP(A674,Holidays!$A$2:$B$2107,2,1)</f>
        <v>Y</v>
      </c>
      <c r="I674" s="2" t="str">
        <f>VLOOKUP(A674,Holidays!$A$2:$C$2107,3,1)</f>
        <v>N</v>
      </c>
    </row>
    <row r="675" spans="1:9" x14ac:dyDescent="0.45">
      <c r="A675" s="1">
        <v>42678</v>
      </c>
      <c r="B675">
        <v>113666.485</v>
      </c>
      <c r="C675">
        <v>25.952350200000001</v>
      </c>
      <c r="D675" s="2">
        <v>10.199999999999999</v>
      </c>
      <c r="E675" s="2">
        <v>29.2</v>
      </c>
      <c r="F675" s="2">
        <v>24.9</v>
      </c>
      <c r="G675" s="2">
        <v>0</v>
      </c>
      <c r="H675" s="2" t="str">
        <f>VLOOKUP(A675,Holidays!$A$2:$B$2107,2,1)</f>
        <v>Y</v>
      </c>
      <c r="I675" s="2" t="str">
        <f>VLOOKUP(A675,Holidays!$A$2:$C$2107,3,1)</f>
        <v>N</v>
      </c>
    </row>
    <row r="676" spans="1:9" x14ac:dyDescent="0.45">
      <c r="A676" s="1">
        <v>42679</v>
      </c>
      <c r="B676">
        <v>101810.75</v>
      </c>
      <c r="C676">
        <v>15.26468717</v>
      </c>
      <c r="D676" s="2">
        <v>10</v>
      </c>
      <c r="E676" s="2">
        <v>16.8</v>
      </c>
      <c r="F676" s="2">
        <v>10.8</v>
      </c>
      <c r="G676" s="2">
        <v>0</v>
      </c>
      <c r="H676" s="2" t="str">
        <f>VLOOKUP(A676,Holidays!$A$2:$B$2107,2,1)</f>
        <v>Y</v>
      </c>
      <c r="I676" s="2" t="str">
        <f>VLOOKUP(A676,Holidays!$A$2:$C$2107,3,1)</f>
        <v>N</v>
      </c>
    </row>
    <row r="677" spans="1:9" x14ac:dyDescent="0.45">
      <c r="A677" s="1">
        <v>42680</v>
      </c>
      <c r="B677">
        <v>96934.925000000003</v>
      </c>
      <c r="C677">
        <v>24.15876196</v>
      </c>
      <c r="D677" s="2">
        <v>11.5</v>
      </c>
      <c r="E677" s="2">
        <v>21.4</v>
      </c>
      <c r="F677" s="2">
        <v>25.2</v>
      </c>
      <c r="G677" s="2">
        <v>0</v>
      </c>
      <c r="H677" s="2" t="str">
        <f>VLOOKUP(A677,Holidays!$A$2:$B$2107,2,1)</f>
        <v>Y</v>
      </c>
      <c r="I677" s="2" t="str">
        <f>VLOOKUP(A677,Holidays!$A$2:$C$2107,3,1)</f>
        <v>N</v>
      </c>
    </row>
    <row r="678" spans="1:9" x14ac:dyDescent="0.45">
      <c r="A678" s="1">
        <v>42681</v>
      </c>
      <c r="B678">
        <v>116230.34</v>
      </c>
      <c r="C678">
        <v>30.36705791</v>
      </c>
      <c r="D678" s="2">
        <v>14.6</v>
      </c>
      <c r="E678" s="2">
        <v>25.9</v>
      </c>
      <c r="F678" s="2">
        <v>15.9</v>
      </c>
      <c r="G678" s="2">
        <v>0</v>
      </c>
      <c r="H678" s="2" t="str">
        <f>VLOOKUP(A678,Holidays!$A$2:$B$2107,2,1)</f>
        <v>Y</v>
      </c>
      <c r="I678" s="2" t="str">
        <f>VLOOKUP(A678,Holidays!$A$2:$C$2107,3,1)</f>
        <v>N</v>
      </c>
    </row>
    <row r="679" spans="1:9" x14ac:dyDescent="0.45">
      <c r="A679" s="1">
        <v>42682</v>
      </c>
      <c r="B679">
        <v>117794.595</v>
      </c>
      <c r="C679">
        <v>53.922003029999999</v>
      </c>
      <c r="D679" s="2">
        <v>11</v>
      </c>
      <c r="E679" s="2">
        <v>18.2</v>
      </c>
      <c r="F679" s="2">
        <v>28.9</v>
      </c>
      <c r="G679" s="2">
        <v>0.2</v>
      </c>
      <c r="H679" s="2" t="str">
        <f>VLOOKUP(A679,Holidays!$A$2:$B$2107,2,1)</f>
        <v>Y</v>
      </c>
      <c r="I679" s="2" t="str">
        <f>VLOOKUP(A679,Holidays!$A$2:$C$2107,3,1)</f>
        <v>N</v>
      </c>
    </row>
    <row r="680" spans="1:9" x14ac:dyDescent="0.45">
      <c r="A680" s="1">
        <v>42683</v>
      </c>
      <c r="B680">
        <v>122131.11500000001</v>
      </c>
      <c r="C680">
        <v>55.662203390000002</v>
      </c>
      <c r="D680" s="2">
        <v>9.1999999999999993</v>
      </c>
      <c r="E680" s="2">
        <v>17.399999999999999</v>
      </c>
      <c r="F680" s="2">
        <v>22</v>
      </c>
      <c r="G680" s="2">
        <v>0</v>
      </c>
      <c r="H680" s="2" t="str">
        <f>VLOOKUP(A680,Holidays!$A$2:$B$2107,2,1)</f>
        <v>Y</v>
      </c>
      <c r="I680" s="2" t="str">
        <f>VLOOKUP(A680,Holidays!$A$2:$C$2107,3,1)</f>
        <v>N</v>
      </c>
    </row>
    <row r="681" spans="1:9" x14ac:dyDescent="0.45">
      <c r="A681" s="1">
        <v>42684</v>
      </c>
      <c r="B681">
        <v>122634.53</v>
      </c>
      <c r="C681">
        <v>48.706971459999998</v>
      </c>
      <c r="D681" s="2">
        <v>11.9</v>
      </c>
      <c r="E681" s="2">
        <v>17.5</v>
      </c>
      <c r="F681" s="2">
        <v>20.3</v>
      </c>
      <c r="G681" s="2">
        <v>0</v>
      </c>
      <c r="H681" s="2" t="str">
        <f>VLOOKUP(A681,Holidays!$A$2:$B$2107,2,1)</f>
        <v>Y</v>
      </c>
      <c r="I681" s="2" t="str">
        <f>VLOOKUP(A681,Holidays!$A$2:$C$2107,3,1)</f>
        <v>N</v>
      </c>
    </row>
    <row r="682" spans="1:9" x14ac:dyDescent="0.45">
      <c r="A682" s="1">
        <v>42685</v>
      </c>
      <c r="B682">
        <v>117953.88499999999</v>
      </c>
      <c r="C682">
        <v>26.823982910000002</v>
      </c>
      <c r="D682" s="2">
        <v>8.4</v>
      </c>
      <c r="E682" s="2">
        <v>23.8</v>
      </c>
      <c r="F682" s="2">
        <v>29.1</v>
      </c>
      <c r="G682" s="2">
        <v>0</v>
      </c>
      <c r="H682" s="2" t="str">
        <f>VLOOKUP(A682,Holidays!$A$2:$B$2107,2,1)</f>
        <v>Y</v>
      </c>
      <c r="I682" s="2" t="str">
        <f>VLOOKUP(A682,Holidays!$A$2:$C$2107,3,1)</f>
        <v>N</v>
      </c>
    </row>
    <row r="683" spans="1:9" x14ac:dyDescent="0.45">
      <c r="A683" s="1">
        <v>42686</v>
      </c>
      <c r="B683">
        <v>99907.32</v>
      </c>
      <c r="C683">
        <v>10.832116259999999</v>
      </c>
      <c r="D683" s="2">
        <v>13.2</v>
      </c>
      <c r="E683" s="2">
        <v>25.5</v>
      </c>
      <c r="F683" s="2">
        <v>17</v>
      </c>
      <c r="G683" s="2">
        <v>2</v>
      </c>
      <c r="H683" s="2" t="str">
        <f>VLOOKUP(A683,Holidays!$A$2:$B$2107,2,1)</f>
        <v>Y</v>
      </c>
      <c r="I683" s="2" t="str">
        <f>VLOOKUP(A683,Holidays!$A$2:$C$2107,3,1)</f>
        <v>N</v>
      </c>
    </row>
    <row r="684" spans="1:9" x14ac:dyDescent="0.45">
      <c r="A684" s="1">
        <v>42687</v>
      </c>
      <c r="B684">
        <v>96805.925000000003</v>
      </c>
      <c r="C684">
        <v>10.725641830000001</v>
      </c>
      <c r="D684" s="2">
        <v>11.7</v>
      </c>
      <c r="E684" s="2">
        <v>19</v>
      </c>
      <c r="F684" s="2">
        <v>9.6999999999999993</v>
      </c>
      <c r="G684" s="2">
        <v>2</v>
      </c>
      <c r="H684" s="2" t="str">
        <f>VLOOKUP(A684,Holidays!$A$2:$B$2107,2,1)</f>
        <v>Y</v>
      </c>
      <c r="I684" s="2" t="str">
        <f>VLOOKUP(A684,Holidays!$A$2:$C$2107,3,1)</f>
        <v>N</v>
      </c>
    </row>
    <row r="685" spans="1:9" x14ac:dyDescent="0.45">
      <c r="A685" s="1">
        <v>42688</v>
      </c>
      <c r="B685">
        <v>116817.15</v>
      </c>
      <c r="C685">
        <v>39.499737830000001</v>
      </c>
      <c r="D685" s="2">
        <v>11.5</v>
      </c>
      <c r="E685" s="2">
        <v>15.9</v>
      </c>
      <c r="F685" s="2">
        <v>14.8</v>
      </c>
      <c r="G685" s="2">
        <v>8.6</v>
      </c>
      <c r="H685" s="2" t="str">
        <f>VLOOKUP(A685,Holidays!$A$2:$B$2107,2,1)</f>
        <v>Y</v>
      </c>
      <c r="I685" s="2" t="str">
        <f>VLOOKUP(A685,Holidays!$A$2:$C$2107,3,1)</f>
        <v>N</v>
      </c>
    </row>
    <row r="686" spans="1:9" x14ac:dyDescent="0.45">
      <c r="A686" s="1">
        <v>42689</v>
      </c>
      <c r="B686">
        <v>119905.59</v>
      </c>
      <c r="C686">
        <v>26.908387489999999</v>
      </c>
      <c r="D686" s="2">
        <v>11</v>
      </c>
      <c r="E686" s="2">
        <v>19.2</v>
      </c>
      <c r="F686" s="2">
        <v>17.100000000000001</v>
      </c>
      <c r="G686" s="2">
        <v>0</v>
      </c>
      <c r="H686" s="2" t="str">
        <f>VLOOKUP(A686,Holidays!$A$2:$B$2107,2,1)</f>
        <v>Y</v>
      </c>
      <c r="I686" s="2" t="str">
        <f>VLOOKUP(A686,Holidays!$A$2:$C$2107,3,1)</f>
        <v>N</v>
      </c>
    </row>
    <row r="687" spans="1:9" x14ac:dyDescent="0.45">
      <c r="A687" s="1">
        <v>42690</v>
      </c>
      <c r="B687">
        <v>122146.66</v>
      </c>
      <c r="C687">
        <v>35.630684420000001</v>
      </c>
      <c r="D687" s="2">
        <v>11.9</v>
      </c>
      <c r="E687" s="2">
        <v>21.6</v>
      </c>
      <c r="F687" s="2">
        <v>25.8</v>
      </c>
      <c r="G687" s="2">
        <v>0</v>
      </c>
      <c r="H687" s="2" t="str">
        <f>VLOOKUP(A687,Holidays!$A$2:$B$2107,2,1)</f>
        <v>Y</v>
      </c>
      <c r="I687" s="2" t="str">
        <f>VLOOKUP(A687,Holidays!$A$2:$C$2107,3,1)</f>
        <v>N</v>
      </c>
    </row>
    <row r="688" spans="1:9" x14ac:dyDescent="0.45">
      <c r="A688" s="1">
        <v>42691</v>
      </c>
      <c r="B688">
        <v>122464.645</v>
      </c>
      <c r="C688">
        <v>28.55507656</v>
      </c>
      <c r="D688" s="2">
        <v>12</v>
      </c>
      <c r="E688" s="2">
        <v>31.4</v>
      </c>
      <c r="F688" s="2">
        <v>28.8</v>
      </c>
      <c r="G688" s="2">
        <v>0</v>
      </c>
      <c r="H688" s="2" t="str">
        <f>VLOOKUP(A688,Holidays!$A$2:$B$2107,2,1)</f>
        <v>Y</v>
      </c>
      <c r="I688" s="2" t="str">
        <f>VLOOKUP(A688,Holidays!$A$2:$C$2107,3,1)</f>
        <v>N</v>
      </c>
    </row>
    <row r="689" spans="1:9" x14ac:dyDescent="0.45">
      <c r="A689" s="1">
        <v>42692</v>
      </c>
      <c r="B689">
        <v>121441.05</v>
      </c>
      <c r="C689">
        <v>31.775799320000001</v>
      </c>
      <c r="D689" s="2">
        <v>15.3</v>
      </c>
      <c r="E689" s="2">
        <v>18.899999999999999</v>
      </c>
      <c r="F689" s="2">
        <v>15.6</v>
      </c>
      <c r="G689" s="2">
        <v>0</v>
      </c>
      <c r="H689" s="2" t="str">
        <f>VLOOKUP(A689,Holidays!$A$2:$B$2107,2,1)</f>
        <v>Y</v>
      </c>
      <c r="I689" s="2" t="str">
        <f>VLOOKUP(A689,Holidays!$A$2:$C$2107,3,1)</f>
        <v>N</v>
      </c>
    </row>
    <row r="690" spans="1:9" x14ac:dyDescent="0.45">
      <c r="A690" s="1">
        <v>42693</v>
      </c>
      <c r="B690">
        <v>106868.5</v>
      </c>
      <c r="C690">
        <v>24.655993039999998</v>
      </c>
      <c r="D690" s="2">
        <v>11.7</v>
      </c>
      <c r="E690" s="2">
        <v>19.399999999999999</v>
      </c>
      <c r="F690" s="2">
        <v>29.9</v>
      </c>
      <c r="G690" s="2">
        <v>0</v>
      </c>
      <c r="H690" s="2" t="str">
        <f>VLOOKUP(A690,Holidays!$A$2:$B$2107,2,1)</f>
        <v>Y</v>
      </c>
      <c r="I690" s="2" t="str">
        <f>VLOOKUP(A690,Holidays!$A$2:$C$2107,3,1)</f>
        <v>N</v>
      </c>
    </row>
    <row r="691" spans="1:9" x14ac:dyDescent="0.45">
      <c r="A691" s="1">
        <v>42694</v>
      </c>
      <c r="B691">
        <v>112098.33500000001</v>
      </c>
      <c r="C691">
        <v>43.08594969</v>
      </c>
      <c r="D691" s="2">
        <v>11.9</v>
      </c>
      <c r="E691" s="2">
        <v>33.299999999999997</v>
      </c>
      <c r="F691" s="2">
        <v>22.1</v>
      </c>
      <c r="G691" s="2">
        <v>0</v>
      </c>
      <c r="H691" s="2" t="str">
        <f>VLOOKUP(A691,Holidays!$A$2:$B$2107,2,1)</f>
        <v>Y</v>
      </c>
      <c r="I691" s="2" t="str">
        <f>VLOOKUP(A691,Holidays!$A$2:$C$2107,3,1)</f>
        <v>N</v>
      </c>
    </row>
    <row r="692" spans="1:9" x14ac:dyDescent="0.45">
      <c r="A692" s="1">
        <v>42695</v>
      </c>
      <c r="B692">
        <v>138681.815</v>
      </c>
      <c r="C692">
        <v>51.0352654</v>
      </c>
      <c r="D692" s="2">
        <v>17.899999999999999</v>
      </c>
      <c r="E692" s="2">
        <v>35</v>
      </c>
      <c r="F692" s="2">
        <v>19.8</v>
      </c>
      <c r="G692" s="2">
        <v>0</v>
      </c>
      <c r="H692" s="2" t="str">
        <f>VLOOKUP(A692,Holidays!$A$2:$B$2107,2,1)</f>
        <v>Y</v>
      </c>
      <c r="I692" s="2" t="str">
        <f>VLOOKUP(A692,Holidays!$A$2:$C$2107,3,1)</f>
        <v>N</v>
      </c>
    </row>
    <row r="693" spans="1:9" x14ac:dyDescent="0.45">
      <c r="A693" s="1">
        <v>42696</v>
      </c>
      <c r="B693">
        <v>126617.72</v>
      </c>
      <c r="C693">
        <v>37.021291779999999</v>
      </c>
      <c r="D693" s="2">
        <v>14.5</v>
      </c>
      <c r="E693" s="2">
        <v>14.9</v>
      </c>
      <c r="F693" s="2">
        <v>1.5</v>
      </c>
      <c r="G693" s="2">
        <v>8.6</v>
      </c>
      <c r="H693" s="2" t="str">
        <f>VLOOKUP(A693,Holidays!$A$2:$B$2107,2,1)</f>
        <v>Y</v>
      </c>
      <c r="I693" s="2" t="str">
        <f>VLOOKUP(A693,Holidays!$A$2:$C$2107,3,1)</f>
        <v>N</v>
      </c>
    </row>
    <row r="694" spans="1:9" x14ac:dyDescent="0.45">
      <c r="A694" s="1">
        <v>42697</v>
      </c>
      <c r="B694">
        <v>118119.01</v>
      </c>
      <c r="C694">
        <v>41.912267790000001</v>
      </c>
      <c r="D694" s="2">
        <v>11</v>
      </c>
      <c r="E694" s="2">
        <v>16.8</v>
      </c>
      <c r="F694" s="2">
        <v>16.899999999999999</v>
      </c>
      <c r="G694" s="2">
        <v>5.4</v>
      </c>
      <c r="H694" s="2" t="str">
        <f>VLOOKUP(A694,Holidays!$A$2:$B$2107,2,1)</f>
        <v>Y</v>
      </c>
      <c r="I694" s="2" t="str">
        <f>VLOOKUP(A694,Holidays!$A$2:$C$2107,3,1)</f>
        <v>N</v>
      </c>
    </row>
    <row r="695" spans="1:9" x14ac:dyDescent="0.45">
      <c r="A695" s="1">
        <v>42698</v>
      </c>
      <c r="B695">
        <v>120308.545</v>
      </c>
      <c r="C695">
        <v>38.059403269999997</v>
      </c>
      <c r="D695" s="2">
        <v>10.3</v>
      </c>
      <c r="E695" s="2">
        <v>17</v>
      </c>
      <c r="F695" s="2">
        <v>21.6</v>
      </c>
      <c r="G695" s="2">
        <v>2.2000000000000002</v>
      </c>
      <c r="H695" s="2" t="str">
        <f>VLOOKUP(A695,Holidays!$A$2:$B$2107,2,1)</f>
        <v>Y</v>
      </c>
      <c r="I695" s="2" t="str">
        <f>VLOOKUP(A695,Holidays!$A$2:$C$2107,3,1)</f>
        <v>N</v>
      </c>
    </row>
    <row r="696" spans="1:9" x14ac:dyDescent="0.45">
      <c r="A696" s="1">
        <v>42699</v>
      </c>
      <c r="B696">
        <v>116011.565</v>
      </c>
      <c r="C696">
        <v>27.61649096</v>
      </c>
      <c r="D696" s="2">
        <v>10.9</v>
      </c>
      <c r="E696" s="2">
        <v>17.899999999999999</v>
      </c>
      <c r="F696" s="2">
        <v>15.7</v>
      </c>
      <c r="G696" s="2">
        <v>0.8</v>
      </c>
      <c r="H696" s="2" t="str">
        <f>VLOOKUP(A696,Holidays!$A$2:$B$2107,2,1)</f>
        <v>Y</v>
      </c>
      <c r="I696" s="2" t="str">
        <f>VLOOKUP(A696,Holidays!$A$2:$C$2107,3,1)</f>
        <v>N</v>
      </c>
    </row>
    <row r="697" spans="1:9" x14ac:dyDescent="0.45">
      <c r="A697" s="1">
        <v>42700</v>
      </c>
      <c r="B697">
        <v>104700.05499999999</v>
      </c>
      <c r="C697">
        <v>23.790582969999999</v>
      </c>
      <c r="D697" s="2">
        <v>12.2</v>
      </c>
      <c r="E697" s="2">
        <v>17.399999999999999</v>
      </c>
      <c r="F697" s="2">
        <v>18.8</v>
      </c>
      <c r="G697" s="2">
        <v>0</v>
      </c>
      <c r="H697" s="2" t="str">
        <f>VLOOKUP(A697,Holidays!$A$2:$B$2107,2,1)</f>
        <v>Y</v>
      </c>
      <c r="I697" s="2" t="str">
        <f>VLOOKUP(A697,Holidays!$A$2:$C$2107,3,1)</f>
        <v>N</v>
      </c>
    </row>
    <row r="698" spans="1:9" x14ac:dyDescent="0.45">
      <c r="A698" s="1">
        <v>42701</v>
      </c>
      <c r="B698">
        <v>102718.9</v>
      </c>
      <c r="C698">
        <v>37.00394515</v>
      </c>
      <c r="D698" s="2">
        <v>11.6</v>
      </c>
      <c r="E698" s="2">
        <v>16.3</v>
      </c>
      <c r="F698" s="2">
        <v>10.1</v>
      </c>
      <c r="G698" s="2">
        <v>0.4</v>
      </c>
      <c r="H698" s="2" t="str">
        <f>VLOOKUP(A698,Holidays!$A$2:$B$2107,2,1)</f>
        <v>Y</v>
      </c>
      <c r="I698" s="2" t="str">
        <f>VLOOKUP(A698,Holidays!$A$2:$C$2107,3,1)</f>
        <v>N</v>
      </c>
    </row>
    <row r="699" spans="1:9" x14ac:dyDescent="0.45">
      <c r="A699" s="1">
        <v>42702</v>
      </c>
      <c r="B699">
        <v>118666.37</v>
      </c>
      <c r="C699">
        <v>65.392779020000006</v>
      </c>
      <c r="D699" s="2">
        <v>12.2</v>
      </c>
      <c r="E699" s="2">
        <v>19.600000000000001</v>
      </c>
      <c r="F699" s="2">
        <v>24.4</v>
      </c>
      <c r="G699" s="2">
        <v>0.2</v>
      </c>
      <c r="H699" s="2" t="str">
        <f>VLOOKUP(A699,Holidays!$A$2:$B$2107,2,1)</f>
        <v>Y</v>
      </c>
      <c r="I699" s="2" t="str">
        <f>VLOOKUP(A699,Holidays!$A$2:$C$2107,3,1)</f>
        <v>N</v>
      </c>
    </row>
    <row r="700" spans="1:9" x14ac:dyDescent="0.45">
      <c r="A700" s="1">
        <v>42703</v>
      </c>
      <c r="B700">
        <v>119169.17</v>
      </c>
      <c r="C700">
        <v>63.429964150000004</v>
      </c>
      <c r="D700" s="2">
        <v>10.4</v>
      </c>
      <c r="E700" s="2">
        <v>20</v>
      </c>
      <c r="F700" s="2">
        <v>31</v>
      </c>
      <c r="G700" s="2">
        <v>0.2</v>
      </c>
      <c r="H700" s="2" t="str">
        <f>VLOOKUP(A700,Holidays!$A$2:$B$2107,2,1)</f>
        <v>Y</v>
      </c>
      <c r="I700" s="2" t="str">
        <f>VLOOKUP(A700,Holidays!$A$2:$C$2107,3,1)</f>
        <v>N</v>
      </c>
    </row>
    <row r="701" spans="1:9" x14ac:dyDescent="0.45">
      <c r="A701" s="1">
        <v>42704</v>
      </c>
      <c r="B701">
        <v>121067.59</v>
      </c>
      <c r="C701">
        <v>76.02598021</v>
      </c>
      <c r="D701" s="2">
        <v>13.3</v>
      </c>
      <c r="E701" s="2">
        <v>18.899999999999999</v>
      </c>
      <c r="F701" s="2">
        <v>9.6</v>
      </c>
      <c r="G701" s="2">
        <v>0</v>
      </c>
      <c r="H701" s="2" t="str">
        <f>VLOOKUP(A701,Holidays!$A$2:$B$2107,2,1)</f>
        <v>Y</v>
      </c>
      <c r="I701" s="2" t="str">
        <f>VLOOKUP(A701,Holidays!$A$2:$C$2107,3,1)</f>
        <v>N</v>
      </c>
    </row>
    <row r="702" spans="1:9" x14ac:dyDescent="0.45">
      <c r="A702" s="1">
        <v>42705</v>
      </c>
      <c r="B702">
        <v>113024.02</v>
      </c>
      <c r="C702">
        <v>56.012306840000001</v>
      </c>
      <c r="D702" s="2">
        <v>12.9</v>
      </c>
      <c r="E702" s="2">
        <v>21.9</v>
      </c>
      <c r="F702" s="2">
        <v>28</v>
      </c>
      <c r="G702" s="2">
        <v>0</v>
      </c>
      <c r="H702" s="2" t="str">
        <f>VLOOKUP(A702,Holidays!$A$2:$B$2107,2,1)</f>
        <v>Y</v>
      </c>
      <c r="I702" s="2" t="str">
        <f>VLOOKUP(A702,Holidays!$A$2:$C$2107,3,1)</f>
        <v>N</v>
      </c>
    </row>
    <row r="703" spans="1:9" x14ac:dyDescent="0.45">
      <c r="A703" s="1">
        <v>42706</v>
      </c>
      <c r="B703">
        <v>109318.355</v>
      </c>
      <c r="C703">
        <v>41.499436780000003</v>
      </c>
      <c r="D703" s="2">
        <v>13</v>
      </c>
      <c r="E703" s="2">
        <v>21.6</v>
      </c>
      <c r="F703" s="2">
        <v>29.7</v>
      </c>
      <c r="G703" s="2">
        <v>0</v>
      </c>
      <c r="H703" s="2" t="str">
        <f>VLOOKUP(A703,Holidays!$A$2:$B$2107,2,1)</f>
        <v>Y</v>
      </c>
      <c r="I703" s="2" t="str">
        <f>VLOOKUP(A703,Holidays!$A$2:$C$2107,3,1)</f>
        <v>N</v>
      </c>
    </row>
    <row r="704" spans="1:9" x14ac:dyDescent="0.45">
      <c r="A704" s="1">
        <v>42707</v>
      </c>
      <c r="B704">
        <v>98899.494999999995</v>
      </c>
      <c r="C704">
        <v>29.20305213</v>
      </c>
      <c r="D704" s="2">
        <v>9.9</v>
      </c>
      <c r="E704" s="2">
        <v>23.9</v>
      </c>
      <c r="F704" s="2">
        <v>31.2</v>
      </c>
      <c r="G704" s="2">
        <v>0</v>
      </c>
      <c r="H704" s="2" t="str">
        <f>VLOOKUP(A704,Holidays!$A$2:$B$2107,2,1)</f>
        <v>Y</v>
      </c>
      <c r="I704" s="2" t="str">
        <f>VLOOKUP(A704,Holidays!$A$2:$C$2107,3,1)</f>
        <v>N</v>
      </c>
    </row>
    <row r="705" spans="1:9" x14ac:dyDescent="0.45">
      <c r="A705" s="1">
        <v>42708</v>
      </c>
      <c r="B705">
        <v>97300.36</v>
      </c>
      <c r="C705">
        <v>43.732741949999998</v>
      </c>
      <c r="D705" s="2">
        <v>12.7</v>
      </c>
      <c r="E705" s="2">
        <v>31.7</v>
      </c>
      <c r="F705" s="2">
        <v>14.1</v>
      </c>
      <c r="G705" s="2">
        <v>0</v>
      </c>
      <c r="H705" s="2" t="str">
        <f>VLOOKUP(A705,Holidays!$A$2:$B$2107,2,1)</f>
        <v>Y</v>
      </c>
      <c r="I705" s="2" t="str">
        <f>VLOOKUP(A705,Holidays!$A$2:$C$2107,3,1)</f>
        <v>N</v>
      </c>
    </row>
    <row r="706" spans="1:9" x14ac:dyDescent="0.45">
      <c r="A706" s="1">
        <v>42709</v>
      </c>
      <c r="B706">
        <v>109670</v>
      </c>
      <c r="C706">
        <v>25.294384869999998</v>
      </c>
      <c r="D706" s="2">
        <v>16.899999999999999</v>
      </c>
      <c r="E706" s="2">
        <v>21.5</v>
      </c>
      <c r="F706" s="2">
        <v>21.6</v>
      </c>
      <c r="G706" s="2">
        <v>2.4</v>
      </c>
      <c r="H706" s="2" t="str">
        <f>VLOOKUP(A706,Holidays!$A$2:$B$2107,2,1)</f>
        <v>Y</v>
      </c>
      <c r="I706" s="2" t="str">
        <f>VLOOKUP(A706,Holidays!$A$2:$C$2107,3,1)</f>
        <v>N</v>
      </c>
    </row>
    <row r="707" spans="1:9" x14ac:dyDescent="0.45">
      <c r="A707" s="1">
        <v>42710</v>
      </c>
      <c r="B707">
        <v>111228.06</v>
      </c>
      <c r="C707">
        <v>48.412487810000002</v>
      </c>
      <c r="D707" s="2">
        <v>12.8</v>
      </c>
      <c r="E707" s="2">
        <v>20.8</v>
      </c>
      <c r="F707" s="2">
        <v>24.2</v>
      </c>
      <c r="G707" s="2">
        <v>0</v>
      </c>
      <c r="H707" s="2" t="str">
        <f>VLOOKUP(A707,Holidays!$A$2:$B$2107,2,1)</f>
        <v>Y</v>
      </c>
      <c r="I707" s="2" t="str">
        <f>VLOOKUP(A707,Holidays!$A$2:$C$2107,3,1)</f>
        <v>N</v>
      </c>
    </row>
    <row r="708" spans="1:9" x14ac:dyDescent="0.45">
      <c r="A708" s="1">
        <v>42711</v>
      </c>
      <c r="B708">
        <v>112738.08</v>
      </c>
      <c r="C708">
        <v>44.722059059999999</v>
      </c>
      <c r="D708" s="2">
        <v>10.5</v>
      </c>
      <c r="E708" s="2">
        <v>28.3</v>
      </c>
      <c r="F708" s="2">
        <v>30.8</v>
      </c>
      <c r="G708" s="2">
        <v>0</v>
      </c>
      <c r="H708" s="2" t="str">
        <f>VLOOKUP(A708,Holidays!$A$2:$B$2107,2,1)</f>
        <v>Y</v>
      </c>
      <c r="I708" s="2" t="str">
        <f>VLOOKUP(A708,Holidays!$A$2:$C$2107,3,1)</f>
        <v>N</v>
      </c>
    </row>
    <row r="709" spans="1:9" x14ac:dyDescent="0.45">
      <c r="A709" s="1">
        <v>42712</v>
      </c>
      <c r="B709">
        <v>105445.65</v>
      </c>
      <c r="C709">
        <v>25.853861729999998</v>
      </c>
      <c r="D709" s="2">
        <v>15.4</v>
      </c>
      <c r="E709" s="2">
        <v>23.2</v>
      </c>
      <c r="F709" s="2">
        <v>11.6</v>
      </c>
      <c r="G709" s="2">
        <v>2.2000000000000002</v>
      </c>
      <c r="H709" s="2" t="str">
        <f>VLOOKUP(A709,Holidays!$A$2:$B$2107,2,1)</f>
        <v>Y</v>
      </c>
      <c r="I709" s="2" t="str">
        <f>VLOOKUP(A709,Holidays!$A$2:$C$2107,3,1)</f>
        <v>N</v>
      </c>
    </row>
    <row r="710" spans="1:9" x14ac:dyDescent="0.45">
      <c r="A710" s="1">
        <v>42713</v>
      </c>
      <c r="B710">
        <v>105664.09</v>
      </c>
      <c r="C710">
        <v>25.118195310000001</v>
      </c>
      <c r="D710" s="2">
        <v>10</v>
      </c>
      <c r="E710" s="2">
        <v>17.3</v>
      </c>
      <c r="F710" s="2">
        <v>23.2</v>
      </c>
      <c r="G710" s="2">
        <v>6.6</v>
      </c>
      <c r="H710" s="2" t="str">
        <f>VLOOKUP(A710,Holidays!$A$2:$B$2107,2,1)</f>
        <v>Y</v>
      </c>
      <c r="I710" s="2" t="str">
        <f>VLOOKUP(A710,Holidays!$A$2:$C$2107,3,1)</f>
        <v>N</v>
      </c>
    </row>
    <row r="711" spans="1:9" x14ac:dyDescent="0.45">
      <c r="A711" s="1">
        <v>42714</v>
      </c>
      <c r="B711">
        <v>98622.865000000005</v>
      </c>
      <c r="C711">
        <v>19.31166859</v>
      </c>
      <c r="D711" s="2">
        <v>11.2</v>
      </c>
      <c r="E711" s="2">
        <v>18.8</v>
      </c>
      <c r="F711" s="2">
        <v>24.2</v>
      </c>
      <c r="G711" s="2">
        <v>0.2</v>
      </c>
      <c r="H711" s="2" t="str">
        <f>VLOOKUP(A711,Holidays!$A$2:$B$2107,2,1)</f>
        <v>Y</v>
      </c>
      <c r="I711" s="2" t="str">
        <f>VLOOKUP(A711,Holidays!$A$2:$C$2107,3,1)</f>
        <v>N</v>
      </c>
    </row>
    <row r="712" spans="1:9" x14ac:dyDescent="0.45">
      <c r="A712" s="1">
        <v>42715</v>
      </c>
      <c r="B712">
        <v>93673.19</v>
      </c>
      <c r="C712">
        <v>16.396687880000002</v>
      </c>
      <c r="D712" s="2">
        <v>12.9</v>
      </c>
      <c r="E712" s="2">
        <v>19.3</v>
      </c>
      <c r="F712" s="2">
        <v>27</v>
      </c>
      <c r="G712" s="2">
        <v>1</v>
      </c>
      <c r="H712" s="2" t="str">
        <f>VLOOKUP(A712,Holidays!$A$2:$B$2107,2,1)</f>
        <v>Y</v>
      </c>
      <c r="I712" s="2" t="str">
        <f>VLOOKUP(A712,Holidays!$A$2:$C$2107,3,1)</f>
        <v>N</v>
      </c>
    </row>
    <row r="713" spans="1:9" x14ac:dyDescent="0.45">
      <c r="A713" s="1">
        <v>42716</v>
      </c>
      <c r="B713">
        <v>120390.11</v>
      </c>
      <c r="C713">
        <v>45.157572940000001</v>
      </c>
      <c r="D713" s="2">
        <v>10.7</v>
      </c>
      <c r="E713" s="2">
        <v>32.799999999999997</v>
      </c>
      <c r="F713" s="2">
        <v>30</v>
      </c>
      <c r="G713" s="2">
        <v>0</v>
      </c>
      <c r="H713" s="2" t="str">
        <f>VLOOKUP(A713,Holidays!$A$2:$B$2107,2,1)</f>
        <v>Y</v>
      </c>
      <c r="I713" s="2" t="str">
        <f>VLOOKUP(A713,Holidays!$A$2:$C$2107,3,1)</f>
        <v>N</v>
      </c>
    </row>
    <row r="714" spans="1:9" x14ac:dyDescent="0.45">
      <c r="A714" s="1">
        <v>42717</v>
      </c>
      <c r="B714">
        <v>128831.65</v>
      </c>
      <c r="C714">
        <v>44.693023539999999</v>
      </c>
      <c r="D714" s="2">
        <v>16.5</v>
      </c>
      <c r="E714" s="2">
        <v>36.299999999999997</v>
      </c>
      <c r="F714" s="2">
        <v>14.1</v>
      </c>
      <c r="G714" s="2">
        <v>0</v>
      </c>
      <c r="H714" s="2" t="str">
        <f>VLOOKUP(A714,Holidays!$A$2:$B$2107,2,1)</f>
        <v>Y</v>
      </c>
      <c r="I714" s="2" t="str">
        <f>VLOOKUP(A714,Holidays!$A$2:$C$2107,3,1)</f>
        <v>N</v>
      </c>
    </row>
    <row r="715" spans="1:9" x14ac:dyDescent="0.45">
      <c r="A715" s="1">
        <v>42718</v>
      </c>
      <c r="B715">
        <v>111423.765</v>
      </c>
      <c r="C715">
        <v>19.919106330000002</v>
      </c>
      <c r="D715" s="2">
        <v>15.7</v>
      </c>
      <c r="E715" s="2">
        <v>19.3</v>
      </c>
      <c r="F715" s="2">
        <v>21.3</v>
      </c>
      <c r="G715" s="2">
        <v>0</v>
      </c>
      <c r="H715" s="2" t="str">
        <f>VLOOKUP(A715,Holidays!$A$2:$B$2107,2,1)</f>
        <v>Y</v>
      </c>
      <c r="I715" s="2" t="str">
        <f>VLOOKUP(A715,Holidays!$A$2:$C$2107,3,1)</f>
        <v>N</v>
      </c>
    </row>
    <row r="716" spans="1:9" x14ac:dyDescent="0.45">
      <c r="A716" s="1">
        <v>42719</v>
      </c>
      <c r="B716">
        <v>107072.36</v>
      </c>
      <c r="C716">
        <v>31.145308459999999</v>
      </c>
      <c r="D716" s="2">
        <v>11.7</v>
      </c>
      <c r="E716" s="2">
        <v>18.600000000000001</v>
      </c>
      <c r="F716" s="2">
        <v>30.8</v>
      </c>
      <c r="G716" s="2">
        <v>0</v>
      </c>
      <c r="H716" s="2" t="str">
        <f>VLOOKUP(A716,Holidays!$A$2:$B$2107,2,1)</f>
        <v>Y</v>
      </c>
      <c r="I716" s="2" t="str">
        <f>VLOOKUP(A716,Holidays!$A$2:$C$2107,3,1)</f>
        <v>N</v>
      </c>
    </row>
    <row r="717" spans="1:9" x14ac:dyDescent="0.45">
      <c r="A717" s="1">
        <v>42720</v>
      </c>
      <c r="B717">
        <v>113698.06</v>
      </c>
      <c r="C717">
        <v>48.856884800000003</v>
      </c>
      <c r="D717" s="2">
        <v>9.6999999999999993</v>
      </c>
      <c r="E717" s="2">
        <v>25.5</v>
      </c>
      <c r="F717" s="2">
        <v>20.5</v>
      </c>
      <c r="G717" s="2">
        <v>0</v>
      </c>
      <c r="H717" s="2" t="str">
        <f>VLOOKUP(A717,Holidays!$A$2:$B$2107,2,1)</f>
        <v>Y</v>
      </c>
      <c r="I717" s="2" t="str">
        <f>VLOOKUP(A717,Holidays!$A$2:$C$2107,3,1)</f>
        <v>N</v>
      </c>
    </row>
    <row r="718" spans="1:9" x14ac:dyDescent="0.45">
      <c r="A718" s="1">
        <v>42721</v>
      </c>
      <c r="B718">
        <v>90227.48</v>
      </c>
      <c r="C718">
        <v>23.576231230000001</v>
      </c>
      <c r="D718" s="2">
        <v>15.1</v>
      </c>
      <c r="E718" s="2">
        <v>20.9</v>
      </c>
      <c r="F718" s="2">
        <v>22.5</v>
      </c>
      <c r="G718" s="2">
        <v>0</v>
      </c>
      <c r="H718" s="2" t="str">
        <f>VLOOKUP(A718,Holidays!$A$2:$B$2107,2,1)</f>
        <v>Y</v>
      </c>
      <c r="I718" s="2" t="str">
        <f>VLOOKUP(A718,Holidays!$A$2:$C$2107,3,1)</f>
        <v>N</v>
      </c>
    </row>
    <row r="719" spans="1:9" x14ac:dyDescent="0.45">
      <c r="A719" s="1">
        <v>42722</v>
      </c>
      <c r="B719">
        <v>90911.085000000006</v>
      </c>
      <c r="C719">
        <v>26.49359939</v>
      </c>
      <c r="D719" s="2">
        <v>10</v>
      </c>
      <c r="E719" s="2">
        <v>17.5</v>
      </c>
      <c r="F719" s="2">
        <v>30.3</v>
      </c>
      <c r="G719" s="2">
        <v>0</v>
      </c>
      <c r="H719" s="2" t="str">
        <f>VLOOKUP(A719,Holidays!$A$2:$B$2107,2,1)</f>
        <v>Y</v>
      </c>
      <c r="I719" s="2" t="str">
        <f>VLOOKUP(A719,Holidays!$A$2:$C$2107,3,1)</f>
        <v>N</v>
      </c>
    </row>
    <row r="720" spans="1:9" x14ac:dyDescent="0.45">
      <c r="A720" s="1">
        <v>42723</v>
      </c>
      <c r="B720">
        <v>109260.30499999999</v>
      </c>
      <c r="C720">
        <v>28.684832369999999</v>
      </c>
      <c r="D720" s="2">
        <v>8.8000000000000007</v>
      </c>
      <c r="E720" s="2">
        <v>30.2</v>
      </c>
      <c r="F720" s="2">
        <v>29.3</v>
      </c>
      <c r="G720" s="2">
        <v>0</v>
      </c>
      <c r="H720" s="2" t="str">
        <f>VLOOKUP(A720,Holidays!$A$2:$B$2107,2,1)</f>
        <v>Y</v>
      </c>
      <c r="I720" s="2" t="str">
        <f>VLOOKUP(A720,Holidays!$A$2:$C$2107,3,1)</f>
        <v>N</v>
      </c>
    </row>
    <row r="721" spans="1:9" x14ac:dyDescent="0.45">
      <c r="A721" s="1">
        <v>42724</v>
      </c>
      <c r="B721">
        <v>106451.255</v>
      </c>
      <c r="C721">
        <v>16.129856849999999</v>
      </c>
      <c r="D721" s="2">
        <v>14.4</v>
      </c>
      <c r="E721" s="2">
        <v>21.5</v>
      </c>
      <c r="F721" s="2">
        <v>26</v>
      </c>
      <c r="G721" s="2">
        <v>3</v>
      </c>
      <c r="H721" s="2" t="str">
        <f>VLOOKUP(A721,Holidays!$A$2:$B$2107,2,1)</f>
        <v>N</v>
      </c>
      <c r="I721" s="2" t="str">
        <f>VLOOKUP(A721,Holidays!$A$2:$C$2107,3,1)</f>
        <v>N</v>
      </c>
    </row>
    <row r="722" spans="1:9" x14ac:dyDescent="0.45">
      <c r="A722" s="1">
        <v>42725</v>
      </c>
      <c r="B722">
        <v>104389.51</v>
      </c>
      <c r="C722">
        <v>21.34587505</v>
      </c>
      <c r="D722" s="2">
        <v>13.5</v>
      </c>
      <c r="E722" s="2">
        <v>19.899999999999999</v>
      </c>
      <c r="F722" s="2">
        <v>28.8</v>
      </c>
      <c r="G722" s="2">
        <v>0.2</v>
      </c>
      <c r="H722" s="2" t="str">
        <f>VLOOKUP(A722,Holidays!$A$2:$B$2107,2,1)</f>
        <v>N</v>
      </c>
      <c r="I722" s="2" t="str">
        <f>VLOOKUP(A722,Holidays!$A$2:$C$2107,3,1)</f>
        <v>N</v>
      </c>
    </row>
    <row r="723" spans="1:9" x14ac:dyDescent="0.45">
      <c r="A723" s="1">
        <v>42726</v>
      </c>
      <c r="B723">
        <v>105513.235</v>
      </c>
      <c r="C723">
        <v>20.97623583</v>
      </c>
      <c r="D723" s="2">
        <v>14.6</v>
      </c>
      <c r="E723" s="2">
        <v>20</v>
      </c>
      <c r="F723" s="2">
        <v>29.6</v>
      </c>
      <c r="G723" s="2">
        <v>0</v>
      </c>
      <c r="H723" s="2" t="str">
        <f>VLOOKUP(A723,Holidays!$A$2:$B$2107,2,1)</f>
        <v>N</v>
      </c>
      <c r="I723" s="2" t="str">
        <f>VLOOKUP(A723,Holidays!$A$2:$C$2107,3,1)</f>
        <v>N</v>
      </c>
    </row>
    <row r="724" spans="1:9" x14ac:dyDescent="0.45">
      <c r="A724" s="1">
        <v>42727</v>
      </c>
      <c r="B724">
        <v>112247.94500000001</v>
      </c>
      <c r="C724">
        <v>24.329345190000002</v>
      </c>
      <c r="D724" s="2">
        <v>12.5</v>
      </c>
      <c r="E724" s="2">
        <v>26.3</v>
      </c>
      <c r="F724" s="2">
        <v>28.7</v>
      </c>
      <c r="G724" s="2">
        <v>0</v>
      </c>
      <c r="H724" s="2" t="str">
        <f>VLOOKUP(A724,Holidays!$A$2:$B$2107,2,1)</f>
        <v>N</v>
      </c>
      <c r="I724" s="2" t="str">
        <f>VLOOKUP(A724,Holidays!$A$2:$C$2107,3,1)</f>
        <v>N</v>
      </c>
    </row>
    <row r="725" spans="1:9" x14ac:dyDescent="0.45">
      <c r="A725" s="1">
        <v>42728</v>
      </c>
      <c r="B725">
        <v>114843.875</v>
      </c>
      <c r="C725">
        <v>34.693111190000003</v>
      </c>
      <c r="D725" s="2">
        <v>16.2</v>
      </c>
      <c r="E725" s="2">
        <v>34.9</v>
      </c>
      <c r="F725" s="2">
        <v>26.3</v>
      </c>
      <c r="G725" s="2">
        <v>0.8</v>
      </c>
      <c r="H725" s="2" t="str">
        <f>VLOOKUP(A725,Holidays!$A$2:$B$2107,2,1)</f>
        <v>N</v>
      </c>
      <c r="I725" s="2" t="str">
        <f>VLOOKUP(A725,Holidays!$A$2:$C$2107,3,1)</f>
        <v>N</v>
      </c>
    </row>
    <row r="726" spans="1:9" x14ac:dyDescent="0.45">
      <c r="A726" s="1">
        <v>42729</v>
      </c>
      <c r="B726">
        <v>114468.17</v>
      </c>
      <c r="C726">
        <v>28.64742992</v>
      </c>
      <c r="D726" s="2">
        <v>16.399999999999999</v>
      </c>
      <c r="E726" s="2">
        <v>36.299999999999997</v>
      </c>
      <c r="F726" s="2">
        <v>32.299999999999997</v>
      </c>
      <c r="G726" s="2">
        <v>0.2</v>
      </c>
      <c r="H726" s="2" t="str">
        <f>VLOOKUP(A726,Holidays!$A$2:$B$2107,2,1)</f>
        <v>N</v>
      </c>
      <c r="I726" s="2" t="str">
        <f>VLOOKUP(A726,Holidays!$A$2:$C$2107,3,1)</f>
        <v>N</v>
      </c>
    </row>
    <row r="727" spans="1:9" x14ac:dyDescent="0.45">
      <c r="A727" s="1">
        <v>42730</v>
      </c>
      <c r="B727">
        <v>106284.83</v>
      </c>
      <c r="C727">
        <v>22.910355590000002</v>
      </c>
      <c r="D727" s="2">
        <v>25.4</v>
      </c>
      <c r="E727" s="2">
        <v>29.3</v>
      </c>
      <c r="F727" s="2">
        <v>10.199999999999999</v>
      </c>
      <c r="G727" s="2">
        <v>0</v>
      </c>
      <c r="H727" s="2" t="str">
        <f>VLOOKUP(A727,Holidays!$A$2:$B$2107,2,1)</f>
        <v>N</v>
      </c>
      <c r="I727" s="2" t="str">
        <f>VLOOKUP(A727,Holidays!$A$2:$C$2107,3,1)</f>
        <v>Y</v>
      </c>
    </row>
    <row r="728" spans="1:9" x14ac:dyDescent="0.45">
      <c r="A728" s="1">
        <v>42731</v>
      </c>
      <c r="B728">
        <v>99701.43</v>
      </c>
      <c r="C728">
        <v>23.813537400000001</v>
      </c>
      <c r="D728" s="2">
        <v>18</v>
      </c>
      <c r="E728" s="2">
        <v>29.8</v>
      </c>
      <c r="F728" s="2">
        <v>5.8</v>
      </c>
      <c r="G728" s="2">
        <v>1.6</v>
      </c>
      <c r="H728" s="2" t="str">
        <f>VLOOKUP(A728,Holidays!$A$2:$B$2107,2,1)</f>
        <v>N</v>
      </c>
      <c r="I728" s="2" t="str">
        <f>VLOOKUP(A728,Holidays!$A$2:$C$2107,3,1)</f>
        <v>Y</v>
      </c>
    </row>
    <row r="729" spans="1:9" x14ac:dyDescent="0.45">
      <c r="A729" s="1">
        <v>42732</v>
      </c>
      <c r="B729">
        <v>123693.52</v>
      </c>
      <c r="C729">
        <v>40.282509820000001</v>
      </c>
      <c r="D729" s="2">
        <v>20.3</v>
      </c>
      <c r="E729" s="2">
        <v>38.200000000000003</v>
      </c>
      <c r="F729" s="2">
        <v>15.1</v>
      </c>
      <c r="G729" s="2">
        <v>1</v>
      </c>
      <c r="H729" s="2" t="str">
        <f>VLOOKUP(A729,Holidays!$A$2:$B$2107,2,1)</f>
        <v>N</v>
      </c>
      <c r="I729" s="2" t="str">
        <f>VLOOKUP(A729,Holidays!$A$2:$C$2107,3,1)</f>
        <v>N</v>
      </c>
    </row>
    <row r="730" spans="1:9" x14ac:dyDescent="0.45">
      <c r="A730" s="1">
        <v>42733</v>
      </c>
      <c r="B730">
        <v>135571.79500000001</v>
      </c>
      <c r="C730">
        <v>47.145005580000003</v>
      </c>
      <c r="D730" s="2">
        <v>27</v>
      </c>
      <c r="E730" s="2">
        <v>33.5</v>
      </c>
      <c r="F730" s="2">
        <v>15.7</v>
      </c>
      <c r="G730" s="2">
        <v>0</v>
      </c>
      <c r="H730" s="2" t="str">
        <f>VLOOKUP(A730,Holidays!$A$2:$B$2107,2,1)</f>
        <v>N</v>
      </c>
      <c r="I730" s="2" t="str">
        <f>VLOOKUP(A730,Holidays!$A$2:$C$2107,3,1)</f>
        <v>N</v>
      </c>
    </row>
    <row r="731" spans="1:9" x14ac:dyDescent="0.45">
      <c r="A731" s="1">
        <v>42734</v>
      </c>
      <c r="B731">
        <v>112141.83</v>
      </c>
      <c r="C731">
        <v>24.065077649999999</v>
      </c>
      <c r="D731" s="2">
        <v>20.100000000000001</v>
      </c>
      <c r="E731" s="2">
        <v>27.8</v>
      </c>
      <c r="F731" s="2">
        <v>28.8</v>
      </c>
      <c r="G731" s="2">
        <v>20.399999999999999</v>
      </c>
      <c r="H731" s="2" t="str">
        <f>VLOOKUP(A731,Holidays!$A$2:$B$2107,2,1)</f>
        <v>N</v>
      </c>
      <c r="I731" s="2" t="str">
        <f>VLOOKUP(A731,Holidays!$A$2:$C$2107,3,1)</f>
        <v>N</v>
      </c>
    </row>
    <row r="732" spans="1:9" x14ac:dyDescent="0.45">
      <c r="A732" s="1">
        <v>42735</v>
      </c>
      <c r="B732">
        <v>95728.15</v>
      </c>
      <c r="C732">
        <v>17.59822922</v>
      </c>
      <c r="D732" s="2">
        <v>17.3</v>
      </c>
      <c r="E732" s="2">
        <v>23.8</v>
      </c>
      <c r="F732" s="2">
        <v>30.8</v>
      </c>
      <c r="G732" s="2">
        <v>0</v>
      </c>
      <c r="H732" s="2" t="str">
        <f>VLOOKUP(A732,Holidays!$A$2:$B$2107,2,1)</f>
        <v>N</v>
      </c>
      <c r="I732" s="2" t="str">
        <f>VLOOKUP(A732,Holidays!$A$2:$C$2107,3,1)</f>
        <v>N</v>
      </c>
    </row>
    <row r="733" spans="1:9" x14ac:dyDescent="0.45">
      <c r="A733" s="1">
        <v>42736</v>
      </c>
      <c r="B733">
        <v>89403.145000000004</v>
      </c>
      <c r="C733">
        <v>25.846761099999998</v>
      </c>
      <c r="D733" s="2">
        <v>16.8</v>
      </c>
      <c r="E733" s="2">
        <v>21.1</v>
      </c>
      <c r="F733" s="2">
        <v>8.5</v>
      </c>
      <c r="G733" s="2">
        <v>0</v>
      </c>
      <c r="H733" s="2" t="str">
        <f>VLOOKUP(A733,Holidays!$A$2:$B$2107,2,1)</f>
        <v>N</v>
      </c>
      <c r="I733" s="2" t="str">
        <f>VLOOKUP(A733,Holidays!$A$2:$C$2107,3,1)</f>
        <v>Y</v>
      </c>
    </row>
    <row r="734" spans="1:9" x14ac:dyDescent="0.45">
      <c r="A734" s="1">
        <v>42737</v>
      </c>
      <c r="B734">
        <v>86507.47</v>
      </c>
      <c r="C734">
        <v>30.618702880000001</v>
      </c>
      <c r="D734" s="2">
        <v>14.8</v>
      </c>
      <c r="E734" s="2">
        <v>17.8</v>
      </c>
      <c r="F734" s="2">
        <v>7.8</v>
      </c>
      <c r="G734" s="2">
        <v>0.4</v>
      </c>
      <c r="H734" s="2" t="str">
        <f>VLOOKUP(A734,Holidays!$A$2:$B$2107,2,1)</f>
        <v>N</v>
      </c>
      <c r="I734" s="2" t="str">
        <f>VLOOKUP(A734,Holidays!$A$2:$C$2107,3,1)</f>
        <v>Y</v>
      </c>
    </row>
    <row r="735" spans="1:9" x14ac:dyDescent="0.45">
      <c r="A735" s="1">
        <v>42738</v>
      </c>
      <c r="B735">
        <v>97564.744999999995</v>
      </c>
      <c r="C735">
        <v>28.68695469</v>
      </c>
      <c r="D735" s="2">
        <v>14.6</v>
      </c>
      <c r="E735" s="2">
        <v>19.5</v>
      </c>
      <c r="F735" s="2">
        <v>25.9</v>
      </c>
      <c r="G735" s="2">
        <v>0.4</v>
      </c>
      <c r="H735" s="2" t="str">
        <f>VLOOKUP(A735,Holidays!$A$2:$B$2107,2,1)</f>
        <v>N</v>
      </c>
      <c r="I735" s="2" t="str">
        <f>VLOOKUP(A735,Holidays!$A$2:$C$2107,3,1)</f>
        <v>N</v>
      </c>
    </row>
    <row r="736" spans="1:9" x14ac:dyDescent="0.45">
      <c r="A736" s="1">
        <v>42739</v>
      </c>
      <c r="B736">
        <v>116606.795</v>
      </c>
      <c r="C736">
        <v>56.972780710000002</v>
      </c>
      <c r="D736" s="2">
        <v>13.3</v>
      </c>
      <c r="E736" s="2">
        <v>29.3</v>
      </c>
      <c r="F736" s="2">
        <v>31.6</v>
      </c>
      <c r="G736" s="2">
        <v>0</v>
      </c>
      <c r="H736" s="2" t="str">
        <f>VLOOKUP(A736,Holidays!$A$2:$B$2107,2,1)</f>
        <v>N</v>
      </c>
      <c r="I736" s="2" t="str">
        <f>VLOOKUP(A736,Holidays!$A$2:$C$2107,3,1)</f>
        <v>N</v>
      </c>
    </row>
    <row r="737" spans="1:9" x14ac:dyDescent="0.45">
      <c r="A737" s="1">
        <v>42740</v>
      </c>
      <c r="B737">
        <v>128079.845</v>
      </c>
      <c r="C737">
        <v>73.458259870000006</v>
      </c>
      <c r="D737" s="2">
        <v>18.5</v>
      </c>
      <c r="E737" s="2">
        <v>31.7</v>
      </c>
      <c r="F737" s="2">
        <v>29.7</v>
      </c>
      <c r="G737" s="2">
        <v>0</v>
      </c>
      <c r="H737" s="2" t="str">
        <f>VLOOKUP(A737,Holidays!$A$2:$B$2107,2,1)</f>
        <v>N</v>
      </c>
      <c r="I737" s="2" t="str">
        <f>VLOOKUP(A737,Holidays!$A$2:$C$2107,3,1)</f>
        <v>N</v>
      </c>
    </row>
    <row r="738" spans="1:9" x14ac:dyDescent="0.45">
      <c r="A738" s="1">
        <v>42741</v>
      </c>
      <c r="B738">
        <v>136308.73499999999</v>
      </c>
      <c r="C738">
        <v>97.699200840000003</v>
      </c>
      <c r="D738" s="2">
        <v>18.3</v>
      </c>
      <c r="E738" s="2">
        <v>35.200000000000003</v>
      </c>
      <c r="F738" s="2">
        <v>30.1</v>
      </c>
      <c r="G738" s="2">
        <v>0</v>
      </c>
      <c r="H738" s="2" t="str">
        <f>VLOOKUP(A738,Holidays!$A$2:$B$2107,2,1)</f>
        <v>N</v>
      </c>
      <c r="I738" s="2" t="str">
        <f>VLOOKUP(A738,Holidays!$A$2:$C$2107,3,1)</f>
        <v>N</v>
      </c>
    </row>
    <row r="739" spans="1:9" x14ac:dyDescent="0.45">
      <c r="A739" s="1">
        <v>42742</v>
      </c>
      <c r="B739">
        <v>134955.01999999999</v>
      </c>
      <c r="C739">
        <v>77.602997990000006</v>
      </c>
      <c r="D739" s="2">
        <v>20.9</v>
      </c>
      <c r="E739" s="2">
        <v>36.700000000000003</v>
      </c>
      <c r="F739" s="2">
        <v>28.5</v>
      </c>
      <c r="G739" s="2">
        <v>0</v>
      </c>
      <c r="H739" s="2" t="str">
        <f>VLOOKUP(A739,Holidays!$A$2:$B$2107,2,1)</f>
        <v>N</v>
      </c>
      <c r="I739" s="2" t="str">
        <f>VLOOKUP(A739,Holidays!$A$2:$C$2107,3,1)</f>
        <v>N</v>
      </c>
    </row>
    <row r="740" spans="1:9" x14ac:dyDescent="0.45">
      <c r="A740" s="1">
        <v>42743</v>
      </c>
      <c r="B740">
        <v>122777.02499999999</v>
      </c>
      <c r="C740">
        <v>69.224810730000002</v>
      </c>
      <c r="D740" s="2">
        <v>28</v>
      </c>
      <c r="E740" s="2">
        <v>33.1</v>
      </c>
      <c r="F740" s="2">
        <v>29.3</v>
      </c>
      <c r="G740" s="2">
        <v>0</v>
      </c>
      <c r="H740" s="2" t="str">
        <f>VLOOKUP(A740,Holidays!$A$2:$B$2107,2,1)</f>
        <v>N</v>
      </c>
      <c r="I740" s="2" t="str">
        <f>VLOOKUP(A740,Holidays!$A$2:$C$2107,3,1)</f>
        <v>N</v>
      </c>
    </row>
    <row r="741" spans="1:9" x14ac:dyDescent="0.45">
      <c r="A741" s="1">
        <v>42744</v>
      </c>
      <c r="B741">
        <v>116211.99</v>
      </c>
      <c r="C741">
        <v>68.099525220000004</v>
      </c>
      <c r="D741" s="2">
        <v>18.5</v>
      </c>
      <c r="E741" s="2">
        <v>24.4</v>
      </c>
      <c r="F741" s="2">
        <v>14.3</v>
      </c>
      <c r="G741" s="2">
        <v>0</v>
      </c>
      <c r="H741" s="2" t="str">
        <f>VLOOKUP(A741,Holidays!$A$2:$B$2107,2,1)</f>
        <v>N</v>
      </c>
      <c r="I741" s="2" t="str">
        <f>VLOOKUP(A741,Holidays!$A$2:$C$2107,3,1)</f>
        <v>N</v>
      </c>
    </row>
    <row r="742" spans="1:9" x14ac:dyDescent="0.45">
      <c r="A742" s="1">
        <v>42745</v>
      </c>
      <c r="B742">
        <v>120366.32</v>
      </c>
      <c r="C742">
        <v>72.813056849999995</v>
      </c>
      <c r="D742" s="2">
        <v>17.7</v>
      </c>
      <c r="E742" s="2">
        <v>26.2</v>
      </c>
      <c r="F742" s="2">
        <v>28.6</v>
      </c>
      <c r="G742" s="2">
        <v>0</v>
      </c>
      <c r="H742" s="2" t="str">
        <f>VLOOKUP(A742,Holidays!$A$2:$B$2107,2,1)</f>
        <v>N</v>
      </c>
      <c r="I742" s="2" t="str">
        <f>VLOOKUP(A742,Holidays!$A$2:$C$2107,3,1)</f>
        <v>N</v>
      </c>
    </row>
    <row r="743" spans="1:9" x14ac:dyDescent="0.45">
      <c r="A743" s="1">
        <v>42746</v>
      </c>
      <c r="B743">
        <v>111595.855</v>
      </c>
      <c r="C743">
        <v>65.744510939999998</v>
      </c>
      <c r="D743" s="2">
        <v>16.600000000000001</v>
      </c>
      <c r="E743" s="2">
        <v>24.3</v>
      </c>
      <c r="F743" s="2">
        <v>25.9</v>
      </c>
      <c r="G743" s="2">
        <v>0</v>
      </c>
      <c r="H743" s="2" t="str">
        <f>VLOOKUP(A743,Holidays!$A$2:$B$2107,2,1)</f>
        <v>N</v>
      </c>
      <c r="I743" s="2" t="str">
        <f>VLOOKUP(A743,Holidays!$A$2:$C$2107,3,1)</f>
        <v>N</v>
      </c>
    </row>
    <row r="744" spans="1:9" x14ac:dyDescent="0.45">
      <c r="A744" s="1">
        <v>42747</v>
      </c>
      <c r="B744">
        <v>118783.94500000001</v>
      </c>
      <c r="C744">
        <v>70.490405460000005</v>
      </c>
      <c r="D744" s="2">
        <v>14.9</v>
      </c>
      <c r="E744" s="2">
        <v>26.5</v>
      </c>
      <c r="F744" s="2">
        <v>30.7</v>
      </c>
      <c r="G744" s="2">
        <v>0</v>
      </c>
      <c r="H744" s="2" t="str">
        <f>VLOOKUP(A744,Holidays!$A$2:$B$2107,2,1)</f>
        <v>N</v>
      </c>
      <c r="I744" s="2" t="str">
        <f>VLOOKUP(A744,Holidays!$A$2:$C$2107,3,1)</f>
        <v>N</v>
      </c>
    </row>
    <row r="745" spans="1:9" x14ac:dyDescent="0.45">
      <c r="A745" s="1">
        <v>42748</v>
      </c>
      <c r="B745">
        <v>111341.675</v>
      </c>
      <c r="C745">
        <v>70.012194559999998</v>
      </c>
      <c r="D745" s="2">
        <v>17.5</v>
      </c>
      <c r="E745" s="2">
        <v>28.8</v>
      </c>
      <c r="F745" s="2">
        <v>1.3</v>
      </c>
      <c r="G745" s="2">
        <v>1.4</v>
      </c>
      <c r="H745" s="2" t="str">
        <f>VLOOKUP(A745,Holidays!$A$2:$B$2107,2,1)</f>
        <v>N</v>
      </c>
      <c r="I745" s="2" t="str">
        <f>VLOOKUP(A745,Holidays!$A$2:$C$2107,3,1)</f>
        <v>N</v>
      </c>
    </row>
    <row r="746" spans="1:9" x14ac:dyDescent="0.45">
      <c r="A746" s="1">
        <v>42749</v>
      </c>
      <c r="B746">
        <v>88996.625</v>
      </c>
      <c r="C746">
        <v>42.294834850000001</v>
      </c>
      <c r="D746" s="2">
        <v>15.2</v>
      </c>
      <c r="E746" s="2">
        <v>23.5</v>
      </c>
      <c r="F746" s="2">
        <v>16.5</v>
      </c>
      <c r="G746" s="2">
        <v>2.6</v>
      </c>
      <c r="H746" s="2" t="str">
        <f>VLOOKUP(A746,Holidays!$A$2:$B$2107,2,1)</f>
        <v>N</v>
      </c>
      <c r="I746" s="2" t="str">
        <f>VLOOKUP(A746,Holidays!$A$2:$C$2107,3,1)</f>
        <v>N</v>
      </c>
    </row>
    <row r="747" spans="1:9" x14ac:dyDescent="0.45">
      <c r="A747" s="1">
        <v>42750</v>
      </c>
      <c r="B747">
        <v>90294</v>
      </c>
      <c r="C747">
        <v>55.444296340000001</v>
      </c>
      <c r="D747" s="2">
        <v>15.2</v>
      </c>
      <c r="E747" s="2">
        <v>21.5</v>
      </c>
      <c r="F747" s="2">
        <v>22.7</v>
      </c>
      <c r="G747" s="2">
        <v>0</v>
      </c>
      <c r="H747" s="2" t="str">
        <f>VLOOKUP(A747,Holidays!$A$2:$B$2107,2,1)</f>
        <v>N</v>
      </c>
      <c r="I747" s="2" t="str">
        <f>VLOOKUP(A747,Holidays!$A$2:$C$2107,3,1)</f>
        <v>N</v>
      </c>
    </row>
    <row r="748" spans="1:9" x14ac:dyDescent="0.45">
      <c r="A748" s="1">
        <v>42751</v>
      </c>
      <c r="B748">
        <v>120928.705</v>
      </c>
      <c r="C748">
        <v>108.1670628</v>
      </c>
      <c r="D748" s="2">
        <v>12.2</v>
      </c>
      <c r="E748" s="2">
        <v>32.700000000000003</v>
      </c>
      <c r="F748" s="2">
        <v>30.5</v>
      </c>
      <c r="G748" s="2">
        <v>0</v>
      </c>
      <c r="H748" s="2" t="str">
        <f>VLOOKUP(A748,Holidays!$A$2:$B$2107,2,1)</f>
        <v>N</v>
      </c>
      <c r="I748" s="2" t="str">
        <f>VLOOKUP(A748,Holidays!$A$2:$C$2107,3,1)</f>
        <v>N</v>
      </c>
    </row>
    <row r="749" spans="1:9" x14ac:dyDescent="0.45">
      <c r="A749" s="1">
        <v>42752</v>
      </c>
      <c r="B749">
        <v>140517.65</v>
      </c>
      <c r="C749">
        <v>129.23765750000001</v>
      </c>
      <c r="D749" s="2">
        <v>16.399999999999999</v>
      </c>
      <c r="E749" s="2">
        <v>37.799999999999997</v>
      </c>
      <c r="F749" s="2">
        <v>25.5</v>
      </c>
      <c r="G749" s="2">
        <v>0</v>
      </c>
      <c r="H749" s="2" t="str">
        <f>VLOOKUP(A749,Holidays!$A$2:$B$2107,2,1)</f>
        <v>N</v>
      </c>
      <c r="I749" s="2" t="str">
        <f>VLOOKUP(A749,Holidays!$A$2:$C$2107,3,1)</f>
        <v>N</v>
      </c>
    </row>
    <row r="750" spans="1:9" x14ac:dyDescent="0.45">
      <c r="A750" s="1">
        <v>42753</v>
      </c>
      <c r="B750">
        <v>111211.35</v>
      </c>
      <c r="C750">
        <v>75.16561944</v>
      </c>
      <c r="D750" s="2">
        <v>15.6</v>
      </c>
      <c r="E750" s="2">
        <v>20.8</v>
      </c>
      <c r="F750" s="2">
        <v>27.5</v>
      </c>
      <c r="G750" s="2">
        <v>0</v>
      </c>
      <c r="H750" s="2" t="str">
        <f>VLOOKUP(A750,Holidays!$A$2:$B$2107,2,1)</f>
        <v>N</v>
      </c>
      <c r="I750" s="2" t="str">
        <f>VLOOKUP(A750,Holidays!$A$2:$C$2107,3,1)</f>
        <v>N</v>
      </c>
    </row>
    <row r="751" spans="1:9" x14ac:dyDescent="0.45">
      <c r="A751" s="1">
        <v>42754</v>
      </c>
      <c r="B751">
        <v>112371.41</v>
      </c>
      <c r="C751">
        <v>62.885130349999997</v>
      </c>
      <c r="D751" s="2">
        <v>11</v>
      </c>
      <c r="E751" s="2">
        <v>23.4</v>
      </c>
      <c r="F751" s="2">
        <v>29.7</v>
      </c>
      <c r="G751" s="2">
        <v>0</v>
      </c>
      <c r="H751" s="2" t="str">
        <f>VLOOKUP(A751,Holidays!$A$2:$B$2107,2,1)</f>
        <v>N</v>
      </c>
      <c r="I751" s="2" t="str">
        <f>VLOOKUP(A751,Holidays!$A$2:$C$2107,3,1)</f>
        <v>N</v>
      </c>
    </row>
    <row r="752" spans="1:9" x14ac:dyDescent="0.45">
      <c r="A752" s="1">
        <v>42755</v>
      </c>
      <c r="B752">
        <v>107937.685</v>
      </c>
      <c r="C752">
        <v>38.993116039999997</v>
      </c>
      <c r="D752" s="2">
        <v>16.100000000000001</v>
      </c>
      <c r="E752" s="2">
        <v>20.8</v>
      </c>
      <c r="F752" s="2">
        <v>13.2</v>
      </c>
      <c r="G752" s="2">
        <v>22.6</v>
      </c>
      <c r="H752" s="2" t="str">
        <f>VLOOKUP(A752,Holidays!$A$2:$B$2107,2,1)</f>
        <v>N</v>
      </c>
      <c r="I752" s="2" t="str">
        <f>VLOOKUP(A752,Holidays!$A$2:$C$2107,3,1)</f>
        <v>N</v>
      </c>
    </row>
    <row r="753" spans="1:9" x14ac:dyDescent="0.45">
      <c r="A753" s="1">
        <v>42756</v>
      </c>
      <c r="B753">
        <v>96779.07</v>
      </c>
      <c r="C753">
        <v>46.479114430000003</v>
      </c>
      <c r="D753" s="2">
        <v>15.3</v>
      </c>
      <c r="E753" s="2">
        <v>22.6</v>
      </c>
      <c r="F753" s="2">
        <v>25.1</v>
      </c>
      <c r="G753" s="2">
        <v>0.6</v>
      </c>
      <c r="H753" s="2" t="str">
        <f>VLOOKUP(A753,Holidays!$A$2:$B$2107,2,1)</f>
        <v>N</v>
      </c>
      <c r="I753" s="2" t="str">
        <f>VLOOKUP(A753,Holidays!$A$2:$C$2107,3,1)</f>
        <v>N</v>
      </c>
    </row>
    <row r="754" spans="1:9" x14ac:dyDescent="0.45">
      <c r="A754" s="1">
        <v>42757</v>
      </c>
      <c r="B754">
        <v>103291.61</v>
      </c>
      <c r="C754">
        <v>60.78453185</v>
      </c>
      <c r="D754" s="2">
        <v>12.7</v>
      </c>
      <c r="E754" s="2">
        <v>29.6</v>
      </c>
      <c r="F754" s="2">
        <v>30.3</v>
      </c>
      <c r="G754" s="2">
        <v>0</v>
      </c>
      <c r="H754" s="2" t="str">
        <f>VLOOKUP(A754,Holidays!$A$2:$B$2107,2,1)</f>
        <v>N</v>
      </c>
      <c r="I754" s="2" t="str">
        <f>VLOOKUP(A754,Holidays!$A$2:$C$2107,3,1)</f>
        <v>N</v>
      </c>
    </row>
    <row r="755" spans="1:9" x14ac:dyDescent="0.45">
      <c r="A755" s="1">
        <v>42758</v>
      </c>
      <c r="B755">
        <v>141332.05499999999</v>
      </c>
      <c r="C755">
        <v>79.114397690000004</v>
      </c>
      <c r="D755" s="2">
        <v>17.8</v>
      </c>
      <c r="E755" s="2">
        <v>36.700000000000003</v>
      </c>
      <c r="F755" s="2">
        <v>19.2</v>
      </c>
      <c r="G755" s="2">
        <v>0</v>
      </c>
      <c r="H755" s="2" t="str">
        <f>VLOOKUP(A755,Holidays!$A$2:$B$2107,2,1)</f>
        <v>N</v>
      </c>
      <c r="I755" s="2" t="str">
        <f>VLOOKUP(A755,Holidays!$A$2:$C$2107,3,1)</f>
        <v>N</v>
      </c>
    </row>
    <row r="756" spans="1:9" x14ac:dyDescent="0.45">
      <c r="A756" s="1">
        <v>42759</v>
      </c>
      <c r="B756">
        <v>115664.16</v>
      </c>
      <c r="C756">
        <v>59.817182150000001</v>
      </c>
      <c r="D756" s="2">
        <v>19.100000000000001</v>
      </c>
      <c r="E756" s="2">
        <v>22</v>
      </c>
      <c r="F756" s="2">
        <v>27.6</v>
      </c>
      <c r="G756" s="2">
        <v>0.6</v>
      </c>
      <c r="H756" s="2" t="str">
        <f>VLOOKUP(A756,Holidays!$A$2:$B$2107,2,1)</f>
        <v>N</v>
      </c>
      <c r="I756" s="2" t="str">
        <f>VLOOKUP(A756,Holidays!$A$2:$C$2107,3,1)</f>
        <v>N</v>
      </c>
    </row>
    <row r="757" spans="1:9" x14ac:dyDescent="0.45">
      <c r="A757" s="1">
        <v>42760</v>
      </c>
      <c r="B757">
        <v>111936.7</v>
      </c>
      <c r="C757">
        <v>58.875132450000002</v>
      </c>
      <c r="D757" s="2">
        <v>13.5</v>
      </c>
      <c r="E757" s="2">
        <v>21.1</v>
      </c>
      <c r="F757" s="2">
        <v>29.8</v>
      </c>
      <c r="G757" s="2">
        <v>0</v>
      </c>
      <c r="H757" s="2" t="str">
        <f>VLOOKUP(A757,Holidays!$A$2:$B$2107,2,1)</f>
        <v>N</v>
      </c>
      <c r="I757" s="2" t="str">
        <f>VLOOKUP(A757,Holidays!$A$2:$C$2107,3,1)</f>
        <v>N</v>
      </c>
    </row>
    <row r="758" spans="1:9" x14ac:dyDescent="0.45">
      <c r="A758" s="1">
        <v>42761</v>
      </c>
      <c r="B758">
        <v>98590.06</v>
      </c>
      <c r="C758">
        <v>37.844897750000001</v>
      </c>
      <c r="D758" s="2">
        <v>16.399999999999999</v>
      </c>
      <c r="E758" s="2">
        <v>21.2</v>
      </c>
      <c r="F758" s="2">
        <v>16.899999999999999</v>
      </c>
      <c r="G758" s="2">
        <v>0</v>
      </c>
      <c r="H758" s="2" t="str">
        <f>VLOOKUP(A758,Holidays!$A$2:$B$2107,2,1)</f>
        <v>N</v>
      </c>
      <c r="I758" s="2" t="str">
        <f>VLOOKUP(A758,Holidays!$A$2:$C$2107,3,1)</f>
        <v>Y</v>
      </c>
    </row>
    <row r="759" spans="1:9" x14ac:dyDescent="0.45">
      <c r="A759" s="1">
        <v>42762</v>
      </c>
      <c r="B759">
        <v>112513.82</v>
      </c>
      <c r="C759">
        <v>69.657181960000003</v>
      </c>
      <c r="D759" s="2">
        <v>17</v>
      </c>
      <c r="E759" s="2">
        <v>23.6</v>
      </c>
      <c r="F759" s="2">
        <v>29.3</v>
      </c>
      <c r="G759" s="2">
        <v>0</v>
      </c>
      <c r="H759" s="2" t="str">
        <f>VLOOKUP(A759,Holidays!$A$2:$B$2107,2,1)</f>
        <v>N</v>
      </c>
      <c r="I759" s="2" t="str">
        <f>VLOOKUP(A759,Holidays!$A$2:$C$2107,3,1)</f>
        <v>N</v>
      </c>
    </row>
    <row r="760" spans="1:9" x14ac:dyDescent="0.45">
      <c r="A760" s="1">
        <v>42763</v>
      </c>
      <c r="B760">
        <v>108336.53</v>
      </c>
      <c r="C760">
        <v>74.062542859999994</v>
      </c>
      <c r="D760" s="2">
        <v>15</v>
      </c>
      <c r="E760" s="2">
        <v>29.2</v>
      </c>
      <c r="F760" s="2">
        <v>29.2</v>
      </c>
      <c r="G760" s="2">
        <v>0</v>
      </c>
      <c r="H760" s="2" t="str">
        <f>VLOOKUP(A760,Holidays!$A$2:$B$2107,2,1)</f>
        <v>N</v>
      </c>
      <c r="I760" s="2" t="str">
        <f>VLOOKUP(A760,Holidays!$A$2:$C$2107,3,1)</f>
        <v>N</v>
      </c>
    </row>
    <row r="761" spans="1:9" x14ac:dyDescent="0.45">
      <c r="A761" s="1">
        <v>42764</v>
      </c>
      <c r="B761">
        <v>109020.58</v>
      </c>
      <c r="C761">
        <v>76.586887250000004</v>
      </c>
      <c r="D761" s="2">
        <v>15.1</v>
      </c>
      <c r="E761" s="2">
        <v>27</v>
      </c>
      <c r="F761" s="2">
        <v>29.4</v>
      </c>
      <c r="G761" s="2">
        <v>0</v>
      </c>
      <c r="H761" s="2" t="str">
        <f>VLOOKUP(A761,Holidays!$A$2:$B$2107,2,1)</f>
        <v>N</v>
      </c>
      <c r="I761" s="2" t="str">
        <f>VLOOKUP(A761,Holidays!$A$2:$C$2107,3,1)</f>
        <v>N</v>
      </c>
    </row>
    <row r="762" spans="1:9" x14ac:dyDescent="0.45">
      <c r="A762" s="1">
        <v>42765</v>
      </c>
      <c r="B762">
        <v>124292.955</v>
      </c>
      <c r="C762">
        <v>96.168584289999998</v>
      </c>
      <c r="D762" s="2">
        <v>17.8</v>
      </c>
      <c r="E762" s="2">
        <v>30</v>
      </c>
      <c r="F762" s="2">
        <v>3.7</v>
      </c>
      <c r="G762" s="2">
        <v>0</v>
      </c>
      <c r="H762" s="2" t="str">
        <f>VLOOKUP(A762,Holidays!$A$2:$B$2107,2,1)</f>
        <v>N</v>
      </c>
      <c r="I762" s="2" t="str">
        <f>VLOOKUP(A762,Holidays!$A$2:$C$2107,3,1)</f>
        <v>N</v>
      </c>
    </row>
    <row r="763" spans="1:9" x14ac:dyDescent="0.45">
      <c r="A763" s="1">
        <v>42766</v>
      </c>
      <c r="B763">
        <v>112863.01</v>
      </c>
      <c r="C763">
        <v>58.791267060000003</v>
      </c>
      <c r="D763" s="2">
        <v>16.5</v>
      </c>
      <c r="E763" s="2">
        <v>22.1</v>
      </c>
      <c r="F763" s="2">
        <v>26.8</v>
      </c>
      <c r="G763" s="2">
        <v>3</v>
      </c>
      <c r="H763" s="2" t="str">
        <f>VLOOKUP(A763,Holidays!$A$2:$B$2107,2,1)</f>
        <v>Y</v>
      </c>
      <c r="I763" s="2" t="str">
        <f>VLOOKUP(A763,Holidays!$A$2:$C$2107,3,1)</f>
        <v>N</v>
      </c>
    </row>
    <row r="764" spans="1:9" x14ac:dyDescent="0.45">
      <c r="A764" s="1">
        <v>42767</v>
      </c>
      <c r="B764">
        <v>114133.73</v>
      </c>
      <c r="C764">
        <v>66.863303090000002</v>
      </c>
      <c r="D764" s="2">
        <v>14.3</v>
      </c>
      <c r="E764" s="2">
        <v>20.6</v>
      </c>
      <c r="F764" s="2">
        <v>9.3000000000000007</v>
      </c>
      <c r="G764" s="2">
        <v>0</v>
      </c>
      <c r="H764" s="2" t="str">
        <f>VLOOKUP(A764,Holidays!$A$2:$B$2107,2,1)</f>
        <v>Y</v>
      </c>
      <c r="I764" s="2" t="str">
        <f>VLOOKUP(A764,Holidays!$A$2:$C$2107,3,1)</f>
        <v>N</v>
      </c>
    </row>
    <row r="765" spans="1:9" x14ac:dyDescent="0.45">
      <c r="A765" s="1">
        <v>42768</v>
      </c>
      <c r="B765">
        <v>110669.27</v>
      </c>
      <c r="C765">
        <v>82.468013690000006</v>
      </c>
      <c r="D765" s="2">
        <v>14.2</v>
      </c>
      <c r="E765" s="2">
        <v>24.1</v>
      </c>
      <c r="F765" s="2">
        <v>28.2</v>
      </c>
      <c r="G765" s="2">
        <v>0</v>
      </c>
      <c r="H765" s="2" t="str">
        <f>VLOOKUP(A765,Holidays!$A$2:$B$2107,2,1)</f>
        <v>Y</v>
      </c>
      <c r="I765" s="2" t="str">
        <f>VLOOKUP(A765,Holidays!$A$2:$C$2107,3,1)</f>
        <v>N</v>
      </c>
    </row>
    <row r="766" spans="1:9" x14ac:dyDescent="0.45">
      <c r="A766" s="1">
        <v>42769</v>
      </c>
      <c r="B766">
        <v>117452.27</v>
      </c>
      <c r="C766">
        <v>87.111014569999995</v>
      </c>
      <c r="D766" s="2">
        <v>15.4</v>
      </c>
      <c r="E766" s="2">
        <v>27.6</v>
      </c>
      <c r="F766" s="2">
        <v>28.1</v>
      </c>
      <c r="G766" s="2">
        <v>0</v>
      </c>
      <c r="H766" s="2" t="str">
        <f>VLOOKUP(A766,Holidays!$A$2:$B$2107,2,1)</f>
        <v>Y</v>
      </c>
      <c r="I766" s="2" t="str">
        <f>VLOOKUP(A766,Holidays!$A$2:$C$2107,3,1)</f>
        <v>N</v>
      </c>
    </row>
    <row r="767" spans="1:9" x14ac:dyDescent="0.45">
      <c r="A767" s="1">
        <v>42770</v>
      </c>
      <c r="B767">
        <v>117361.7</v>
      </c>
      <c r="C767">
        <v>80.817312549999997</v>
      </c>
      <c r="D767" s="2">
        <v>14.6</v>
      </c>
      <c r="E767" s="2">
        <v>35.9</v>
      </c>
      <c r="F767" s="2">
        <v>27.3</v>
      </c>
      <c r="G767" s="2">
        <v>0</v>
      </c>
      <c r="H767" s="2" t="str">
        <f>VLOOKUP(A767,Holidays!$A$2:$B$2107,2,1)</f>
        <v>Y</v>
      </c>
      <c r="I767" s="2" t="str">
        <f>VLOOKUP(A767,Holidays!$A$2:$C$2107,3,1)</f>
        <v>N</v>
      </c>
    </row>
    <row r="768" spans="1:9" x14ac:dyDescent="0.45">
      <c r="A768" s="1">
        <v>42771</v>
      </c>
      <c r="B768">
        <v>110384.27499999999</v>
      </c>
      <c r="C768">
        <v>113.87036519999999</v>
      </c>
      <c r="D768" s="2">
        <v>18.5</v>
      </c>
      <c r="E768" s="2">
        <v>30.7</v>
      </c>
      <c r="F768" s="2">
        <v>9.3000000000000007</v>
      </c>
      <c r="G768" s="2">
        <v>0</v>
      </c>
      <c r="H768" s="2" t="str">
        <f>VLOOKUP(A768,Holidays!$A$2:$B$2107,2,1)</f>
        <v>Y</v>
      </c>
      <c r="I768" s="2" t="str">
        <f>VLOOKUP(A768,Holidays!$A$2:$C$2107,3,1)</f>
        <v>N</v>
      </c>
    </row>
    <row r="769" spans="1:9" x14ac:dyDescent="0.45">
      <c r="A769" s="1">
        <v>42772</v>
      </c>
      <c r="B769">
        <v>108761.37</v>
      </c>
      <c r="C769">
        <v>92.101795850000002</v>
      </c>
      <c r="D769" s="2">
        <v>15.1</v>
      </c>
      <c r="E769" s="2">
        <v>18</v>
      </c>
      <c r="F769" s="2">
        <v>3.9</v>
      </c>
      <c r="G769" s="2">
        <v>32.4</v>
      </c>
      <c r="H769" s="2" t="str">
        <f>VLOOKUP(A769,Holidays!$A$2:$B$2107,2,1)</f>
        <v>Y</v>
      </c>
      <c r="I769" s="2" t="str">
        <f>VLOOKUP(A769,Holidays!$A$2:$C$2107,3,1)</f>
        <v>N</v>
      </c>
    </row>
    <row r="770" spans="1:9" x14ac:dyDescent="0.45">
      <c r="A770" s="1">
        <v>42773</v>
      </c>
      <c r="B770">
        <v>111543.81</v>
      </c>
      <c r="C770">
        <v>69.069610850000004</v>
      </c>
      <c r="D770" s="2">
        <v>15.4</v>
      </c>
      <c r="E770" s="2">
        <v>27.6</v>
      </c>
      <c r="F770" s="2">
        <v>27.9</v>
      </c>
      <c r="G770" s="2">
        <v>0</v>
      </c>
      <c r="H770" s="2" t="str">
        <f>VLOOKUP(A770,Holidays!$A$2:$B$2107,2,1)</f>
        <v>Y</v>
      </c>
      <c r="I770" s="2" t="str">
        <f>VLOOKUP(A770,Holidays!$A$2:$C$2107,3,1)</f>
        <v>N</v>
      </c>
    </row>
    <row r="771" spans="1:9" x14ac:dyDescent="0.45">
      <c r="A771" s="1">
        <v>42774</v>
      </c>
      <c r="B771">
        <v>142213.66</v>
      </c>
      <c r="C771">
        <v>135.0612793</v>
      </c>
      <c r="D771" s="2">
        <v>16.5</v>
      </c>
      <c r="E771" s="2">
        <v>36</v>
      </c>
      <c r="F771" s="2">
        <v>27.7</v>
      </c>
      <c r="G771" s="2">
        <v>0</v>
      </c>
      <c r="H771" s="2" t="str">
        <f>VLOOKUP(A771,Holidays!$A$2:$B$2107,2,1)</f>
        <v>Y</v>
      </c>
      <c r="I771" s="2" t="str">
        <f>VLOOKUP(A771,Holidays!$A$2:$C$2107,3,1)</f>
        <v>N</v>
      </c>
    </row>
    <row r="772" spans="1:9" x14ac:dyDescent="0.45">
      <c r="A772" s="1">
        <v>42775</v>
      </c>
      <c r="B772">
        <v>155060.60999999999</v>
      </c>
      <c r="C772">
        <v>156.69956149999999</v>
      </c>
      <c r="D772" s="2">
        <v>20.3</v>
      </c>
      <c r="E772" s="2">
        <v>36</v>
      </c>
      <c r="F772" s="2">
        <v>24.4</v>
      </c>
      <c r="G772" s="2">
        <v>0</v>
      </c>
      <c r="H772" s="2" t="str">
        <f>VLOOKUP(A772,Holidays!$A$2:$B$2107,2,1)</f>
        <v>Y</v>
      </c>
      <c r="I772" s="2" t="str">
        <f>VLOOKUP(A772,Holidays!$A$2:$C$2107,3,1)</f>
        <v>N</v>
      </c>
    </row>
    <row r="773" spans="1:9" x14ac:dyDescent="0.45">
      <c r="A773" s="1">
        <v>42776</v>
      </c>
      <c r="B773">
        <v>138793.59</v>
      </c>
      <c r="C773">
        <v>213.33943170000001</v>
      </c>
      <c r="D773" s="2">
        <v>18.7</v>
      </c>
      <c r="E773" s="2">
        <v>27.1</v>
      </c>
      <c r="F773" s="2">
        <v>21.3</v>
      </c>
      <c r="G773" s="2">
        <v>0</v>
      </c>
      <c r="H773" s="2" t="str">
        <f>VLOOKUP(A773,Holidays!$A$2:$B$2107,2,1)</f>
        <v>Y</v>
      </c>
      <c r="I773" s="2" t="str">
        <f>VLOOKUP(A773,Holidays!$A$2:$C$2107,3,1)</f>
        <v>N</v>
      </c>
    </row>
    <row r="774" spans="1:9" x14ac:dyDescent="0.45">
      <c r="A774" s="1">
        <v>42777</v>
      </c>
      <c r="B774">
        <v>111983.51</v>
      </c>
      <c r="C774">
        <v>97.608005399999996</v>
      </c>
      <c r="D774" s="2">
        <v>18.5</v>
      </c>
      <c r="E774" s="2">
        <v>24.6</v>
      </c>
      <c r="F774" s="2">
        <v>21</v>
      </c>
      <c r="G774" s="2">
        <v>0</v>
      </c>
      <c r="H774" s="2" t="str">
        <f>VLOOKUP(A774,Holidays!$A$2:$B$2107,2,1)</f>
        <v>Y</v>
      </c>
      <c r="I774" s="2" t="str">
        <f>VLOOKUP(A774,Holidays!$A$2:$C$2107,3,1)</f>
        <v>N</v>
      </c>
    </row>
    <row r="775" spans="1:9" x14ac:dyDescent="0.45">
      <c r="A775" s="1">
        <v>42778</v>
      </c>
      <c r="B775">
        <v>89003.15</v>
      </c>
      <c r="C775">
        <v>19.865113940000001</v>
      </c>
      <c r="D775" s="2">
        <v>15.1</v>
      </c>
      <c r="E775" s="2">
        <v>19.899999999999999</v>
      </c>
      <c r="F775" s="2">
        <v>12.6</v>
      </c>
      <c r="G775" s="2">
        <v>2</v>
      </c>
      <c r="H775" s="2" t="str">
        <f>VLOOKUP(A775,Holidays!$A$2:$B$2107,2,1)</f>
        <v>Y</v>
      </c>
      <c r="I775" s="2" t="str">
        <f>VLOOKUP(A775,Holidays!$A$2:$C$2107,3,1)</f>
        <v>N</v>
      </c>
    </row>
    <row r="776" spans="1:9" x14ac:dyDescent="0.45">
      <c r="A776" s="1">
        <v>42779</v>
      </c>
      <c r="B776">
        <v>104844.105</v>
      </c>
      <c r="C776">
        <v>69.041327929999994</v>
      </c>
      <c r="D776" s="2">
        <v>14</v>
      </c>
      <c r="E776" s="2">
        <v>21</v>
      </c>
      <c r="F776" s="2">
        <v>20.5</v>
      </c>
      <c r="G776" s="2">
        <v>0</v>
      </c>
      <c r="H776" s="2" t="str">
        <f>VLOOKUP(A776,Holidays!$A$2:$B$2107,2,1)</f>
        <v>Y</v>
      </c>
      <c r="I776" s="2" t="str">
        <f>VLOOKUP(A776,Holidays!$A$2:$C$2107,3,1)</f>
        <v>N</v>
      </c>
    </row>
    <row r="777" spans="1:9" x14ac:dyDescent="0.45">
      <c r="A777" s="1">
        <v>42780</v>
      </c>
      <c r="B777">
        <v>111613.05</v>
      </c>
      <c r="C777">
        <v>90.69389262</v>
      </c>
      <c r="D777" s="2">
        <v>14.5</v>
      </c>
      <c r="E777" s="2">
        <v>19.5</v>
      </c>
      <c r="F777" s="2">
        <v>15.6</v>
      </c>
      <c r="G777" s="2">
        <v>0.6</v>
      </c>
      <c r="H777" s="2" t="str">
        <f>VLOOKUP(A777,Holidays!$A$2:$B$2107,2,1)</f>
        <v>Y</v>
      </c>
      <c r="I777" s="2" t="str">
        <f>VLOOKUP(A777,Holidays!$A$2:$C$2107,3,1)</f>
        <v>N</v>
      </c>
    </row>
    <row r="778" spans="1:9" x14ac:dyDescent="0.45">
      <c r="A778" s="1">
        <v>42781</v>
      </c>
      <c r="B778">
        <v>116299.39</v>
      </c>
      <c r="C778">
        <v>79.044379649999996</v>
      </c>
      <c r="D778" s="2">
        <v>10</v>
      </c>
      <c r="E778" s="2">
        <v>31.5</v>
      </c>
      <c r="F778" s="2">
        <v>26</v>
      </c>
      <c r="G778" s="2">
        <v>0</v>
      </c>
      <c r="H778" s="2" t="str">
        <f>VLOOKUP(A778,Holidays!$A$2:$B$2107,2,1)</f>
        <v>Y</v>
      </c>
      <c r="I778" s="2" t="str">
        <f>VLOOKUP(A778,Holidays!$A$2:$C$2107,3,1)</f>
        <v>N</v>
      </c>
    </row>
    <row r="779" spans="1:9" x14ac:dyDescent="0.45">
      <c r="A779" s="1">
        <v>42782</v>
      </c>
      <c r="B779">
        <v>119947.59</v>
      </c>
      <c r="C779">
        <v>112.88703289999999</v>
      </c>
      <c r="D779" s="2">
        <v>14.9</v>
      </c>
      <c r="E779" s="2">
        <v>23.6</v>
      </c>
      <c r="F779" s="2">
        <v>23.2</v>
      </c>
      <c r="G779" s="2">
        <v>0</v>
      </c>
      <c r="H779" s="2" t="str">
        <f>VLOOKUP(A779,Holidays!$A$2:$B$2107,2,1)</f>
        <v>Y</v>
      </c>
      <c r="I779" s="2" t="str">
        <f>VLOOKUP(A779,Holidays!$A$2:$C$2107,3,1)</f>
        <v>N</v>
      </c>
    </row>
    <row r="780" spans="1:9" x14ac:dyDescent="0.45">
      <c r="A780" s="1">
        <v>42783</v>
      </c>
      <c r="B780">
        <v>111885.97</v>
      </c>
      <c r="C780">
        <v>93.732609629999999</v>
      </c>
      <c r="D780" s="2">
        <v>13.7</v>
      </c>
      <c r="E780" s="2">
        <v>25.5</v>
      </c>
      <c r="F780" s="2">
        <v>18.399999999999999</v>
      </c>
      <c r="G780" s="2">
        <v>0</v>
      </c>
      <c r="H780" s="2" t="str">
        <f>VLOOKUP(A780,Holidays!$A$2:$B$2107,2,1)</f>
        <v>Y</v>
      </c>
      <c r="I780" s="2" t="str">
        <f>VLOOKUP(A780,Holidays!$A$2:$C$2107,3,1)</f>
        <v>N</v>
      </c>
    </row>
    <row r="781" spans="1:9" x14ac:dyDescent="0.45">
      <c r="A781" s="1">
        <v>42784</v>
      </c>
      <c r="B781">
        <v>95623.35</v>
      </c>
      <c r="C781">
        <v>49.818158859999997</v>
      </c>
      <c r="D781" s="2">
        <v>13.3</v>
      </c>
      <c r="E781" s="2">
        <v>18.899999999999999</v>
      </c>
      <c r="F781" s="2">
        <v>16.100000000000001</v>
      </c>
      <c r="G781" s="2">
        <v>0</v>
      </c>
      <c r="H781" s="2" t="str">
        <f>VLOOKUP(A781,Holidays!$A$2:$B$2107,2,1)</f>
        <v>Y</v>
      </c>
      <c r="I781" s="2" t="str">
        <f>VLOOKUP(A781,Holidays!$A$2:$C$2107,3,1)</f>
        <v>N</v>
      </c>
    </row>
    <row r="782" spans="1:9" x14ac:dyDescent="0.45">
      <c r="A782" s="1">
        <v>42785</v>
      </c>
      <c r="B782">
        <v>91280.024999999994</v>
      </c>
      <c r="C782">
        <v>53.12020553</v>
      </c>
      <c r="D782" s="2">
        <v>11.7</v>
      </c>
      <c r="E782" s="2">
        <v>17.3</v>
      </c>
      <c r="F782" s="2">
        <v>9.9</v>
      </c>
      <c r="G782" s="2">
        <v>0</v>
      </c>
      <c r="H782" s="2" t="str">
        <f>VLOOKUP(A782,Holidays!$A$2:$B$2107,2,1)</f>
        <v>Y</v>
      </c>
      <c r="I782" s="2" t="str">
        <f>VLOOKUP(A782,Holidays!$A$2:$C$2107,3,1)</f>
        <v>N</v>
      </c>
    </row>
    <row r="783" spans="1:9" x14ac:dyDescent="0.45">
      <c r="A783" s="1">
        <v>42786</v>
      </c>
      <c r="B783">
        <v>105341.86500000001</v>
      </c>
      <c r="C783">
        <v>93.726701410000004</v>
      </c>
      <c r="D783" s="2">
        <v>11.6</v>
      </c>
      <c r="E783" s="2">
        <v>20.3</v>
      </c>
      <c r="F783" s="2">
        <v>22.4</v>
      </c>
      <c r="G783" s="2">
        <v>3.6</v>
      </c>
      <c r="H783" s="2" t="str">
        <f>VLOOKUP(A783,Holidays!$A$2:$B$2107,2,1)</f>
        <v>Y</v>
      </c>
      <c r="I783" s="2" t="str">
        <f>VLOOKUP(A783,Holidays!$A$2:$C$2107,3,1)</f>
        <v>N</v>
      </c>
    </row>
    <row r="784" spans="1:9" x14ac:dyDescent="0.45">
      <c r="A784" s="1">
        <v>42787</v>
      </c>
      <c r="B784">
        <v>112351.47</v>
      </c>
      <c r="C784">
        <v>103.2484286</v>
      </c>
      <c r="D784" s="2">
        <v>10.1</v>
      </c>
      <c r="E784" s="2">
        <v>24</v>
      </c>
      <c r="F784" s="2">
        <v>25</v>
      </c>
      <c r="G784" s="2">
        <v>0.2</v>
      </c>
      <c r="H784" s="2" t="str">
        <f>VLOOKUP(A784,Holidays!$A$2:$B$2107,2,1)</f>
        <v>Y</v>
      </c>
      <c r="I784" s="2" t="str">
        <f>VLOOKUP(A784,Holidays!$A$2:$C$2107,3,1)</f>
        <v>N</v>
      </c>
    </row>
    <row r="785" spans="1:9" x14ac:dyDescent="0.45">
      <c r="A785" s="1">
        <v>42788</v>
      </c>
      <c r="B785">
        <v>116690.17</v>
      </c>
      <c r="C785">
        <v>78.057835249999997</v>
      </c>
      <c r="D785" s="2">
        <v>12.8</v>
      </c>
      <c r="E785" s="2">
        <v>33.299999999999997</v>
      </c>
      <c r="F785" s="2">
        <v>23.1</v>
      </c>
      <c r="G785" s="2">
        <v>0</v>
      </c>
      <c r="H785" s="2" t="str">
        <f>VLOOKUP(A785,Holidays!$A$2:$B$2107,2,1)</f>
        <v>Y</v>
      </c>
      <c r="I785" s="2" t="str">
        <f>VLOOKUP(A785,Holidays!$A$2:$C$2107,3,1)</f>
        <v>N</v>
      </c>
    </row>
    <row r="786" spans="1:9" x14ac:dyDescent="0.45">
      <c r="A786" s="1">
        <v>42789</v>
      </c>
      <c r="B786">
        <v>117948.685</v>
      </c>
      <c r="C786">
        <v>102.3617733</v>
      </c>
      <c r="D786" s="2">
        <v>15.9</v>
      </c>
      <c r="E786" s="2">
        <v>25</v>
      </c>
      <c r="F786" s="2">
        <v>23.5</v>
      </c>
      <c r="G786" s="2">
        <v>0</v>
      </c>
      <c r="H786" s="2" t="str">
        <f>VLOOKUP(A786,Holidays!$A$2:$B$2107,2,1)</f>
        <v>Y</v>
      </c>
      <c r="I786" s="2" t="str">
        <f>VLOOKUP(A786,Holidays!$A$2:$C$2107,3,1)</f>
        <v>N</v>
      </c>
    </row>
    <row r="787" spans="1:9" x14ac:dyDescent="0.45">
      <c r="A787" s="1">
        <v>42790</v>
      </c>
      <c r="B787">
        <v>111229.52</v>
      </c>
      <c r="C787">
        <v>98.210797409999998</v>
      </c>
      <c r="D787" s="2">
        <v>15.8</v>
      </c>
      <c r="E787" s="2">
        <v>20</v>
      </c>
      <c r="F787" s="2">
        <v>13.2</v>
      </c>
      <c r="G787" s="2">
        <v>1.4</v>
      </c>
      <c r="H787" s="2" t="str">
        <f>VLOOKUP(A787,Holidays!$A$2:$B$2107,2,1)</f>
        <v>Y</v>
      </c>
      <c r="I787" s="2" t="str">
        <f>VLOOKUP(A787,Holidays!$A$2:$C$2107,3,1)</f>
        <v>N</v>
      </c>
    </row>
    <row r="788" spans="1:9" x14ac:dyDescent="0.45">
      <c r="A788" s="1">
        <v>42791</v>
      </c>
      <c r="B788">
        <v>95046.904999999999</v>
      </c>
      <c r="C788">
        <v>45.609290440000002</v>
      </c>
      <c r="D788" s="2">
        <v>13.7</v>
      </c>
      <c r="E788" s="2">
        <v>19.399999999999999</v>
      </c>
      <c r="F788" s="2">
        <v>23.9</v>
      </c>
      <c r="G788" s="2">
        <v>0</v>
      </c>
      <c r="H788" s="2" t="str">
        <f>VLOOKUP(A788,Holidays!$A$2:$B$2107,2,1)</f>
        <v>Y</v>
      </c>
      <c r="I788" s="2" t="str">
        <f>VLOOKUP(A788,Holidays!$A$2:$C$2107,3,1)</f>
        <v>N</v>
      </c>
    </row>
    <row r="789" spans="1:9" x14ac:dyDescent="0.45">
      <c r="A789" s="1">
        <v>42792</v>
      </c>
      <c r="B789">
        <v>100495.61500000001</v>
      </c>
      <c r="C789">
        <v>56.026420170000002</v>
      </c>
      <c r="D789" s="2">
        <v>13.2</v>
      </c>
      <c r="E789" s="2">
        <v>29.8</v>
      </c>
      <c r="F789" s="2">
        <v>24.2</v>
      </c>
      <c r="G789" s="2">
        <v>0</v>
      </c>
      <c r="H789" s="2" t="str">
        <f>VLOOKUP(A789,Holidays!$A$2:$B$2107,2,1)</f>
        <v>Y</v>
      </c>
      <c r="I789" s="2" t="str">
        <f>VLOOKUP(A789,Holidays!$A$2:$C$2107,3,1)</f>
        <v>N</v>
      </c>
    </row>
    <row r="790" spans="1:9" x14ac:dyDescent="0.45">
      <c r="A790" s="1">
        <v>42793</v>
      </c>
      <c r="B790">
        <v>131090.77499999999</v>
      </c>
      <c r="C790">
        <v>96.550071590000002</v>
      </c>
      <c r="D790" s="2">
        <v>15.6</v>
      </c>
      <c r="E790" s="2">
        <v>33.1</v>
      </c>
      <c r="F790" s="2">
        <v>23.9</v>
      </c>
      <c r="G790" s="2">
        <v>0</v>
      </c>
      <c r="H790" s="2" t="str">
        <f>VLOOKUP(A790,Holidays!$A$2:$B$2107,2,1)</f>
        <v>Y</v>
      </c>
      <c r="I790" s="2" t="str">
        <f>VLOOKUP(A790,Holidays!$A$2:$C$2107,3,1)</f>
        <v>N</v>
      </c>
    </row>
    <row r="791" spans="1:9" x14ac:dyDescent="0.45">
      <c r="A791" s="1">
        <v>42794</v>
      </c>
      <c r="B791">
        <v>140167.5</v>
      </c>
      <c r="C791">
        <v>99.945639459999995</v>
      </c>
      <c r="D791" s="2">
        <v>17.3</v>
      </c>
      <c r="E791" s="2">
        <v>33.6</v>
      </c>
      <c r="F791" s="2">
        <v>23.6</v>
      </c>
      <c r="G791" s="2">
        <v>0</v>
      </c>
      <c r="H791" s="2" t="str">
        <f>VLOOKUP(A791,Holidays!$A$2:$B$2107,2,1)</f>
        <v>Y</v>
      </c>
      <c r="I791" s="2" t="str">
        <f>VLOOKUP(A791,Holidays!$A$2:$C$2107,3,1)</f>
        <v>N</v>
      </c>
    </row>
    <row r="792" spans="1:9" x14ac:dyDescent="0.45">
      <c r="A792" s="1">
        <v>42795</v>
      </c>
      <c r="B792">
        <v>137291.97</v>
      </c>
      <c r="C792">
        <v>86.003999010000001</v>
      </c>
      <c r="D792" s="2">
        <v>16.600000000000001</v>
      </c>
      <c r="E792" s="2">
        <v>30.5</v>
      </c>
      <c r="F792" s="2">
        <v>23.7</v>
      </c>
      <c r="G792" s="2">
        <v>0</v>
      </c>
      <c r="H792" s="2" t="str">
        <f>VLOOKUP(A792,Holidays!$A$2:$B$2107,2,1)</f>
        <v>Y</v>
      </c>
      <c r="I792" s="2" t="str">
        <f>VLOOKUP(A792,Holidays!$A$2:$C$2107,3,1)</f>
        <v>N</v>
      </c>
    </row>
    <row r="793" spans="1:9" x14ac:dyDescent="0.45">
      <c r="A793" s="1">
        <v>42796</v>
      </c>
      <c r="B793">
        <v>127633.27499999999</v>
      </c>
      <c r="C793">
        <v>85.498445459999999</v>
      </c>
      <c r="D793" s="2">
        <v>17.7</v>
      </c>
      <c r="E793" s="2">
        <v>23.3</v>
      </c>
      <c r="F793" s="2">
        <v>22</v>
      </c>
      <c r="G793" s="2">
        <v>0</v>
      </c>
      <c r="H793" s="2" t="str">
        <f>VLOOKUP(A793,Holidays!$A$2:$B$2107,2,1)</f>
        <v>Y</v>
      </c>
      <c r="I793" s="2" t="str">
        <f>VLOOKUP(A793,Holidays!$A$2:$C$2107,3,1)</f>
        <v>N</v>
      </c>
    </row>
    <row r="794" spans="1:9" x14ac:dyDescent="0.45">
      <c r="A794" s="1">
        <v>42797</v>
      </c>
      <c r="B794">
        <v>124311.33</v>
      </c>
      <c r="C794">
        <v>73.929299439999994</v>
      </c>
      <c r="D794" s="2">
        <v>18.100000000000001</v>
      </c>
      <c r="E794" s="2">
        <v>28.6</v>
      </c>
      <c r="F794" s="2">
        <v>18.100000000000001</v>
      </c>
      <c r="G794" s="2">
        <v>0</v>
      </c>
      <c r="H794" s="2" t="str">
        <f>VLOOKUP(A794,Holidays!$A$2:$B$2107,2,1)</f>
        <v>Y</v>
      </c>
      <c r="I794" s="2" t="str">
        <f>VLOOKUP(A794,Holidays!$A$2:$C$2107,3,1)</f>
        <v>N</v>
      </c>
    </row>
    <row r="795" spans="1:9" x14ac:dyDescent="0.45">
      <c r="A795" s="1">
        <v>42798</v>
      </c>
      <c r="B795">
        <v>116083.295</v>
      </c>
      <c r="C795">
        <v>77.595643690000003</v>
      </c>
      <c r="D795" s="2">
        <v>16.100000000000001</v>
      </c>
      <c r="E795" s="2">
        <v>27.4</v>
      </c>
      <c r="F795" s="2">
        <v>23</v>
      </c>
      <c r="G795" s="2">
        <v>0</v>
      </c>
      <c r="H795" s="2" t="str">
        <f>VLOOKUP(A795,Holidays!$A$2:$B$2107,2,1)</f>
        <v>Y</v>
      </c>
      <c r="I795" s="2" t="str">
        <f>VLOOKUP(A795,Holidays!$A$2:$C$2107,3,1)</f>
        <v>N</v>
      </c>
    </row>
    <row r="796" spans="1:9" x14ac:dyDescent="0.45">
      <c r="A796" s="1">
        <v>42799</v>
      </c>
      <c r="B796">
        <v>103539.02</v>
      </c>
      <c r="C796">
        <v>45.460745699999997</v>
      </c>
      <c r="D796" s="2">
        <v>17.600000000000001</v>
      </c>
      <c r="E796" s="2">
        <v>25.4</v>
      </c>
      <c r="F796" s="2">
        <v>16.8</v>
      </c>
      <c r="G796" s="2">
        <v>0.2</v>
      </c>
      <c r="H796" s="2" t="str">
        <f>VLOOKUP(A796,Holidays!$A$2:$B$2107,2,1)</f>
        <v>Y</v>
      </c>
      <c r="I796" s="2" t="str">
        <f>VLOOKUP(A796,Holidays!$A$2:$C$2107,3,1)</f>
        <v>N</v>
      </c>
    </row>
    <row r="797" spans="1:9" x14ac:dyDescent="0.45">
      <c r="A797" s="1">
        <v>42800</v>
      </c>
      <c r="B797">
        <v>116447.855</v>
      </c>
      <c r="C797">
        <v>56.634147380000002</v>
      </c>
      <c r="D797" s="2">
        <v>17.7</v>
      </c>
      <c r="E797" s="2">
        <v>27.4</v>
      </c>
      <c r="F797" s="2">
        <v>22.3</v>
      </c>
      <c r="G797" s="2">
        <v>0</v>
      </c>
      <c r="H797" s="2" t="str">
        <f>VLOOKUP(A797,Holidays!$A$2:$B$2107,2,1)</f>
        <v>Y</v>
      </c>
      <c r="I797" s="2" t="str">
        <f>VLOOKUP(A797,Holidays!$A$2:$C$2107,3,1)</f>
        <v>N</v>
      </c>
    </row>
    <row r="798" spans="1:9" x14ac:dyDescent="0.45">
      <c r="A798" s="1">
        <v>42801</v>
      </c>
      <c r="B798">
        <v>117931.46</v>
      </c>
      <c r="C798">
        <v>57.516139000000003</v>
      </c>
      <c r="D798" s="2">
        <v>15</v>
      </c>
      <c r="E798" s="2">
        <v>28.2</v>
      </c>
      <c r="F798" s="2">
        <v>22.4</v>
      </c>
      <c r="G798" s="2">
        <v>0</v>
      </c>
      <c r="H798" s="2" t="str">
        <f>VLOOKUP(A798,Holidays!$A$2:$B$2107,2,1)</f>
        <v>Y</v>
      </c>
      <c r="I798" s="2" t="str">
        <f>VLOOKUP(A798,Holidays!$A$2:$C$2107,3,1)</f>
        <v>N</v>
      </c>
    </row>
    <row r="799" spans="1:9" x14ac:dyDescent="0.45">
      <c r="A799" s="1">
        <v>42802</v>
      </c>
      <c r="B799">
        <v>124370.765</v>
      </c>
      <c r="C799">
        <v>73.923132069999994</v>
      </c>
      <c r="D799" s="2">
        <v>14.2</v>
      </c>
      <c r="E799" s="2">
        <v>31.5</v>
      </c>
      <c r="F799" s="2">
        <v>22.1</v>
      </c>
      <c r="G799" s="2">
        <v>0</v>
      </c>
      <c r="H799" s="2" t="str">
        <f>VLOOKUP(A799,Holidays!$A$2:$B$2107,2,1)</f>
        <v>Y</v>
      </c>
      <c r="I799" s="2" t="str">
        <f>VLOOKUP(A799,Holidays!$A$2:$C$2107,3,1)</f>
        <v>N</v>
      </c>
    </row>
    <row r="800" spans="1:9" x14ac:dyDescent="0.45">
      <c r="A800" s="1">
        <v>42803</v>
      </c>
      <c r="B800">
        <v>129649.25</v>
      </c>
      <c r="C800">
        <v>83.889686549999993</v>
      </c>
      <c r="D800" s="2">
        <v>15</v>
      </c>
      <c r="E800" s="2">
        <v>32.299999999999997</v>
      </c>
      <c r="F800" s="2">
        <v>21.1</v>
      </c>
      <c r="G800" s="2">
        <v>0</v>
      </c>
      <c r="H800" s="2" t="str">
        <f>VLOOKUP(A800,Holidays!$A$2:$B$2107,2,1)</f>
        <v>Y</v>
      </c>
      <c r="I800" s="2" t="str">
        <f>VLOOKUP(A800,Holidays!$A$2:$C$2107,3,1)</f>
        <v>N</v>
      </c>
    </row>
    <row r="801" spans="1:9" x14ac:dyDescent="0.45">
      <c r="A801" s="1">
        <v>42804</v>
      </c>
      <c r="B801">
        <v>125346.075</v>
      </c>
      <c r="C801">
        <v>82.034537619999995</v>
      </c>
      <c r="D801" s="2">
        <v>18.5</v>
      </c>
      <c r="E801" s="2">
        <v>23.8</v>
      </c>
      <c r="F801" s="2">
        <v>19.399999999999999</v>
      </c>
      <c r="G801" s="2">
        <v>0</v>
      </c>
      <c r="H801" s="2" t="str">
        <f>VLOOKUP(A801,Holidays!$A$2:$B$2107,2,1)</f>
        <v>Y</v>
      </c>
      <c r="I801" s="2" t="str">
        <f>VLOOKUP(A801,Holidays!$A$2:$C$2107,3,1)</f>
        <v>N</v>
      </c>
    </row>
    <row r="802" spans="1:9" x14ac:dyDescent="0.45">
      <c r="A802" s="1">
        <v>42805</v>
      </c>
      <c r="B802">
        <v>108816.81</v>
      </c>
      <c r="C802">
        <v>50.762326090000002</v>
      </c>
      <c r="D802" s="2">
        <v>18</v>
      </c>
      <c r="E802" s="2">
        <v>26.4</v>
      </c>
      <c r="F802" s="2">
        <v>13.9</v>
      </c>
      <c r="G802" s="2">
        <v>0</v>
      </c>
      <c r="H802" s="2" t="str">
        <f>VLOOKUP(A802,Holidays!$A$2:$B$2107,2,1)</f>
        <v>Y</v>
      </c>
      <c r="I802" s="2" t="str">
        <f>VLOOKUP(A802,Holidays!$A$2:$C$2107,3,1)</f>
        <v>N</v>
      </c>
    </row>
    <row r="803" spans="1:9" x14ac:dyDescent="0.45">
      <c r="A803" s="1">
        <v>42806</v>
      </c>
      <c r="B803">
        <v>102617.51</v>
      </c>
      <c r="C803">
        <v>42.480560560000001</v>
      </c>
      <c r="D803" s="2">
        <v>17.899999999999999</v>
      </c>
      <c r="E803" s="2">
        <v>27.1</v>
      </c>
      <c r="F803" s="2">
        <v>19.600000000000001</v>
      </c>
      <c r="G803" s="2">
        <v>0</v>
      </c>
      <c r="H803" s="2" t="str">
        <f>VLOOKUP(A803,Holidays!$A$2:$B$2107,2,1)</f>
        <v>Y</v>
      </c>
      <c r="I803" s="2" t="str">
        <f>VLOOKUP(A803,Holidays!$A$2:$C$2107,3,1)</f>
        <v>N</v>
      </c>
    </row>
    <row r="804" spans="1:9" x14ac:dyDescent="0.45">
      <c r="A804" s="1">
        <v>42807</v>
      </c>
      <c r="B804">
        <v>104468.9</v>
      </c>
      <c r="C804">
        <v>66.843722060000005</v>
      </c>
      <c r="D804" s="2">
        <v>15.7</v>
      </c>
      <c r="E804" s="2">
        <v>24.3</v>
      </c>
      <c r="F804" s="2">
        <v>20.7</v>
      </c>
      <c r="G804" s="2">
        <v>0.2</v>
      </c>
      <c r="H804" s="2" t="str">
        <f>VLOOKUP(A804,Holidays!$A$2:$B$2107,2,1)</f>
        <v>Y</v>
      </c>
      <c r="I804" s="2" t="str">
        <f>VLOOKUP(A804,Holidays!$A$2:$C$2107,3,1)</f>
        <v>Y</v>
      </c>
    </row>
    <row r="805" spans="1:9" x14ac:dyDescent="0.45">
      <c r="A805" s="1">
        <v>42808</v>
      </c>
      <c r="B805">
        <v>133227.785</v>
      </c>
      <c r="C805">
        <v>101.4423563</v>
      </c>
      <c r="D805" s="2">
        <v>18.8</v>
      </c>
      <c r="E805" s="2">
        <v>32.700000000000003</v>
      </c>
      <c r="F805" s="2">
        <v>20.8</v>
      </c>
      <c r="G805" s="2">
        <v>0</v>
      </c>
      <c r="H805" s="2" t="str">
        <f>VLOOKUP(A805,Holidays!$A$2:$B$2107,2,1)</f>
        <v>Y</v>
      </c>
      <c r="I805" s="2" t="str">
        <f>VLOOKUP(A805,Holidays!$A$2:$C$2107,3,1)</f>
        <v>N</v>
      </c>
    </row>
    <row r="806" spans="1:9" x14ac:dyDescent="0.45">
      <c r="A806" s="1">
        <v>42809</v>
      </c>
      <c r="B806">
        <v>139672.83499999999</v>
      </c>
      <c r="C806">
        <v>102.0122176</v>
      </c>
      <c r="D806" s="2">
        <v>20.8</v>
      </c>
      <c r="E806" s="2">
        <v>33.200000000000003</v>
      </c>
      <c r="F806" s="2">
        <v>18.899999999999999</v>
      </c>
      <c r="G806" s="2">
        <v>0</v>
      </c>
      <c r="H806" s="2" t="str">
        <f>VLOOKUP(A806,Holidays!$A$2:$B$2107,2,1)</f>
        <v>Y</v>
      </c>
      <c r="I806" s="2" t="str">
        <f>VLOOKUP(A806,Holidays!$A$2:$C$2107,3,1)</f>
        <v>N</v>
      </c>
    </row>
    <row r="807" spans="1:9" x14ac:dyDescent="0.45">
      <c r="A807" s="1">
        <v>42810</v>
      </c>
      <c r="B807">
        <v>124255.97500000001</v>
      </c>
      <c r="C807">
        <v>87.894020850000004</v>
      </c>
      <c r="D807" s="2">
        <v>21.7</v>
      </c>
      <c r="E807" s="2">
        <v>23</v>
      </c>
      <c r="F807" s="2">
        <v>4.8</v>
      </c>
      <c r="G807" s="2">
        <v>1.8</v>
      </c>
      <c r="H807" s="2" t="str">
        <f>VLOOKUP(A807,Holidays!$A$2:$B$2107,2,1)</f>
        <v>Y</v>
      </c>
      <c r="I807" s="2" t="str">
        <f>VLOOKUP(A807,Holidays!$A$2:$C$2107,3,1)</f>
        <v>N</v>
      </c>
    </row>
    <row r="808" spans="1:9" x14ac:dyDescent="0.45">
      <c r="A808" s="1">
        <v>42811</v>
      </c>
      <c r="B808">
        <v>111612.075</v>
      </c>
      <c r="C808">
        <v>70.74607288</v>
      </c>
      <c r="D808" s="2">
        <v>15.8</v>
      </c>
      <c r="E808" s="2">
        <v>22.1</v>
      </c>
      <c r="F808" s="2">
        <v>20.100000000000001</v>
      </c>
      <c r="G808" s="2">
        <v>0</v>
      </c>
      <c r="H808" s="2" t="str">
        <f>VLOOKUP(A808,Holidays!$A$2:$B$2107,2,1)</f>
        <v>Y</v>
      </c>
      <c r="I808" s="2" t="str">
        <f>VLOOKUP(A808,Holidays!$A$2:$C$2107,3,1)</f>
        <v>N</v>
      </c>
    </row>
    <row r="809" spans="1:9" x14ac:dyDescent="0.45">
      <c r="A809" s="1">
        <v>42812</v>
      </c>
      <c r="B809">
        <v>107731.78</v>
      </c>
      <c r="C809">
        <v>68.877097030000002</v>
      </c>
      <c r="D809" s="2">
        <v>12.4</v>
      </c>
      <c r="E809" s="2">
        <v>30.8</v>
      </c>
      <c r="F809" s="2">
        <v>19.899999999999999</v>
      </c>
      <c r="G809" s="2">
        <v>0</v>
      </c>
      <c r="H809" s="2" t="str">
        <f>VLOOKUP(A809,Holidays!$A$2:$B$2107,2,1)</f>
        <v>Y</v>
      </c>
      <c r="I809" s="2" t="str">
        <f>VLOOKUP(A809,Holidays!$A$2:$C$2107,3,1)</f>
        <v>N</v>
      </c>
    </row>
    <row r="810" spans="1:9" x14ac:dyDescent="0.45">
      <c r="A810" s="1">
        <v>42813</v>
      </c>
      <c r="B810">
        <v>113593.82</v>
      </c>
      <c r="C810">
        <v>121.12201020000001</v>
      </c>
      <c r="D810" s="2">
        <v>14.5</v>
      </c>
      <c r="E810" s="2">
        <v>33.5</v>
      </c>
      <c r="F810" s="2">
        <v>19.7</v>
      </c>
      <c r="G810" s="2">
        <v>0</v>
      </c>
      <c r="H810" s="2" t="str">
        <f>VLOOKUP(A810,Holidays!$A$2:$B$2107,2,1)</f>
        <v>Y</v>
      </c>
      <c r="I810" s="2" t="str">
        <f>VLOOKUP(A810,Holidays!$A$2:$C$2107,3,1)</f>
        <v>N</v>
      </c>
    </row>
    <row r="811" spans="1:9" x14ac:dyDescent="0.45">
      <c r="A811" s="1">
        <v>42814</v>
      </c>
      <c r="B811">
        <v>131980.98499999999</v>
      </c>
      <c r="C811">
        <v>184.82347909999999</v>
      </c>
      <c r="D811" s="2">
        <v>19.3</v>
      </c>
      <c r="E811" s="2">
        <v>28</v>
      </c>
      <c r="F811" s="2">
        <v>11.3</v>
      </c>
      <c r="G811" s="2">
        <v>0</v>
      </c>
      <c r="H811" s="2" t="str">
        <f>VLOOKUP(A811,Holidays!$A$2:$B$2107,2,1)</f>
        <v>Y</v>
      </c>
      <c r="I811" s="2" t="str">
        <f>VLOOKUP(A811,Holidays!$A$2:$C$2107,3,1)</f>
        <v>N</v>
      </c>
    </row>
    <row r="812" spans="1:9" x14ac:dyDescent="0.45">
      <c r="A812" s="1">
        <v>42815</v>
      </c>
      <c r="B812">
        <v>127625.36500000001</v>
      </c>
      <c r="C812">
        <v>112.9036926</v>
      </c>
      <c r="D812" s="2">
        <v>19.899999999999999</v>
      </c>
      <c r="E812" s="2">
        <v>26.1</v>
      </c>
      <c r="F812" s="2">
        <v>6.1</v>
      </c>
      <c r="G812" s="2">
        <v>4.4000000000000004</v>
      </c>
      <c r="H812" s="2" t="str">
        <f>VLOOKUP(A812,Holidays!$A$2:$B$2107,2,1)</f>
        <v>Y</v>
      </c>
      <c r="I812" s="2" t="str">
        <f>VLOOKUP(A812,Holidays!$A$2:$C$2107,3,1)</f>
        <v>N</v>
      </c>
    </row>
    <row r="813" spans="1:9" x14ac:dyDescent="0.45">
      <c r="A813" s="1">
        <v>42816</v>
      </c>
      <c r="B813">
        <v>114696.37</v>
      </c>
      <c r="C813">
        <v>77.000286310000007</v>
      </c>
      <c r="D813" s="2">
        <v>17.8</v>
      </c>
      <c r="E813" s="2">
        <v>21.8</v>
      </c>
      <c r="F813" s="2">
        <v>7.3</v>
      </c>
      <c r="G813" s="2">
        <v>9.1999999999999993</v>
      </c>
      <c r="H813" s="2" t="str">
        <f>VLOOKUP(A813,Holidays!$A$2:$B$2107,2,1)</f>
        <v>Y</v>
      </c>
      <c r="I813" s="2" t="str">
        <f>VLOOKUP(A813,Holidays!$A$2:$C$2107,3,1)</f>
        <v>N</v>
      </c>
    </row>
    <row r="814" spans="1:9" x14ac:dyDescent="0.45">
      <c r="A814" s="1">
        <v>42817</v>
      </c>
      <c r="B814">
        <v>111632.83500000001</v>
      </c>
      <c r="C814">
        <v>97.823059580000006</v>
      </c>
      <c r="D814" s="2">
        <v>16.2</v>
      </c>
      <c r="E814" s="2">
        <v>25.1</v>
      </c>
      <c r="F814" s="2">
        <v>17.2</v>
      </c>
      <c r="G814" s="2">
        <v>0</v>
      </c>
      <c r="H814" s="2" t="str">
        <f>VLOOKUP(A814,Holidays!$A$2:$B$2107,2,1)</f>
        <v>Y</v>
      </c>
      <c r="I814" s="2" t="str">
        <f>VLOOKUP(A814,Holidays!$A$2:$C$2107,3,1)</f>
        <v>N</v>
      </c>
    </row>
    <row r="815" spans="1:9" x14ac:dyDescent="0.45">
      <c r="A815" s="1">
        <v>42818</v>
      </c>
      <c r="B815">
        <v>115411.41</v>
      </c>
      <c r="C815">
        <v>118.4496111</v>
      </c>
      <c r="D815" s="2">
        <v>13.9</v>
      </c>
      <c r="E815" s="2">
        <v>24.7</v>
      </c>
      <c r="F815" s="2">
        <v>16.100000000000001</v>
      </c>
      <c r="G815" s="2">
        <v>0</v>
      </c>
      <c r="H815" s="2" t="str">
        <f>VLOOKUP(A815,Holidays!$A$2:$B$2107,2,1)</f>
        <v>Y</v>
      </c>
      <c r="I815" s="2" t="str">
        <f>VLOOKUP(A815,Holidays!$A$2:$C$2107,3,1)</f>
        <v>N</v>
      </c>
    </row>
    <row r="816" spans="1:9" x14ac:dyDescent="0.45">
      <c r="A816" s="1">
        <v>42819</v>
      </c>
      <c r="B816">
        <v>107465.98</v>
      </c>
      <c r="C816">
        <v>138.79475579999999</v>
      </c>
      <c r="D816" s="2">
        <v>15.3</v>
      </c>
      <c r="E816" s="2">
        <v>29.7</v>
      </c>
      <c r="F816" s="2">
        <v>13.5</v>
      </c>
      <c r="G816" s="2">
        <v>0</v>
      </c>
      <c r="H816" s="2" t="str">
        <f>VLOOKUP(A816,Holidays!$A$2:$B$2107,2,1)</f>
        <v>Y</v>
      </c>
      <c r="I816" s="2" t="str">
        <f>VLOOKUP(A816,Holidays!$A$2:$C$2107,3,1)</f>
        <v>N</v>
      </c>
    </row>
    <row r="817" spans="1:9" x14ac:dyDescent="0.45">
      <c r="A817" s="1">
        <v>42820</v>
      </c>
      <c r="B817">
        <v>104189.1</v>
      </c>
      <c r="C817">
        <v>147.4805929</v>
      </c>
      <c r="D817" s="2">
        <v>19.3</v>
      </c>
      <c r="E817" s="2">
        <v>26.7</v>
      </c>
      <c r="F817" s="2">
        <v>14.6</v>
      </c>
      <c r="G817" s="2">
        <v>0</v>
      </c>
      <c r="H817" s="2" t="str">
        <f>VLOOKUP(A817,Holidays!$A$2:$B$2107,2,1)</f>
        <v>Y</v>
      </c>
      <c r="I817" s="2" t="str">
        <f>VLOOKUP(A817,Holidays!$A$2:$C$2107,3,1)</f>
        <v>N</v>
      </c>
    </row>
    <row r="818" spans="1:9" x14ac:dyDescent="0.45">
      <c r="A818" s="1">
        <v>42821</v>
      </c>
      <c r="B818">
        <v>116237.22</v>
      </c>
      <c r="C818">
        <v>118.5621993</v>
      </c>
      <c r="D818" s="2">
        <v>19.3</v>
      </c>
      <c r="E818" s="2">
        <v>31.9</v>
      </c>
      <c r="F818" s="2">
        <v>7.6</v>
      </c>
      <c r="G818" s="2">
        <v>0</v>
      </c>
      <c r="H818" s="2" t="str">
        <f>VLOOKUP(A818,Holidays!$A$2:$B$2107,2,1)</f>
        <v>Y</v>
      </c>
      <c r="I818" s="2" t="str">
        <f>VLOOKUP(A818,Holidays!$A$2:$C$2107,3,1)</f>
        <v>N</v>
      </c>
    </row>
    <row r="819" spans="1:9" x14ac:dyDescent="0.45">
      <c r="A819" s="1">
        <v>42822</v>
      </c>
      <c r="B819">
        <v>111032.97500000001</v>
      </c>
      <c r="C819">
        <v>121.90563229999999</v>
      </c>
      <c r="D819" s="2">
        <v>11.9</v>
      </c>
      <c r="E819" s="2">
        <v>24.3</v>
      </c>
      <c r="F819" s="2">
        <v>17.8</v>
      </c>
      <c r="G819" s="2">
        <v>4.2</v>
      </c>
      <c r="H819" s="2" t="str">
        <f>VLOOKUP(A819,Holidays!$A$2:$B$2107,2,1)</f>
        <v>Y</v>
      </c>
      <c r="I819" s="2" t="str">
        <f>VLOOKUP(A819,Holidays!$A$2:$C$2107,3,1)</f>
        <v>N</v>
      </c>
    </row>
    <row r="820" spans="1:9" x14ac:dyDescent="0.45">
      <c r="A820" s="1">
        <v>42823</v>
      </c>
      <c r="B820">
        <v>109640.33</v>
      </c>
      <c r="C820">
        <v>133.7982653</v>
      </c>
      <c r="D820" s="2">
        <v>13.9</v>
      </c>
      <c r="E820" s="2">
        <v>27.2</v>
      </c>
      <c r="F820" s="2">
        <v>14.7</v>
      </c>
      <c r="G820" s="2">
        <v>0.2</v>
      </c>
      <c r="H820" s="2" t="str">
        <f>VLOOKUP(A820,Holidays!$A$2:$B$2107,2,1)</f>
        <v>Y</v>
      </c>
      <c r="I820" s="2" t="str">
        <f>VLOOKUP(A820,Holidays!$A$2:$C$2107,3,1)</f>
        <v>N</v>
      </c>
    </row>
    <row r="821" spans="1:9" x14ac:dyDescent="0.45">
      <c r="A821" s="1">
        <v>42824</v>
      </c>
      <c r="B821">
        <v>107491.87</v>
      </c>
      <c r="C821">
        <v>115.1902122</v>
      </c>
      <c r="D821" s="2">
        <v>10.199999999999999</v>
      </c>
      <c r="E821" s="2">
        <v>17.899999999999999</v>
      </c>
      <c r="F821" s="2">
        <v>13</v>
      </c>
      <c r="G821" s="2">
        <v>3.4</v>
      </c>
      <c r="H821" s="2" t="str">
        <f>VLOOKUP(A821,Holidays!$A$2:$B$2107,2,1)</f>
        <v>Y</v>
      </c>
      <c r="I821" s="2" t="str">
        <f>VLOOKUP(A821,Holidays!$A$2:$C$2107,3,1)</f>
        <v>N</v>
      </c>
    </row>
    <row r="822" spans="1:9" x14ac:dyDescent="0.45">
      <c r="A822" s="1">
        <v>42825</v>
      </c>
      <c r="B822">
        <v>110662.245</v>
      </c>
      <c r="C822">
        <v>145.21906050000001</v>
      </c>
      <c r="D822" s="2">
        <v>10.1</v>
      </c>
      <c r="E822" s="2">
        <v>17.899999999999999</v>
      </c>
      <c r="F822" s="2">
        <v>12.3</v>
      </c>
      <c r="G822" s="2">
        <v>2.8</v>
      </c>
      <c r="H822" s="2" t="str">
        <f>VLOOKUP(A822,Holidays!$A$2:$B$2107,2,1)</f>
        <v>N</v>
      </c>
      <c r="I822" s="2" t="str">
        <f>VLOOKUP(A822,Holidays!$A$2:$C$2107,3,1)</f>
        <v>N</v>
      </c>
    </row>
    <row r="823" spans="1:9" x14ac:dyDescent="0.45">
      <c r="A823" s="1">
        <v>42826</v>
      </c>
      <c r="B823">
        <v>97402.264999999999</v>
      </c>
      <c r="C823">
        <v>99.249181780000001</v>
      </c>
      <c r="D823" s="2">
        <v>10</v>
      </c>
      <c r="E823" s="2">
        <v>19</v>
      </c>
      <c r="F823" s="2">
        <v>13.5</v>
      </c>
      <c r="G823" s="2">
        <v>0</v>
      </c>
      <c r="H823" s="2" t="str">
        <f>VLOOKUP(A823,Holidays!$A$2:$B$2107,2,1)</f>
        <v>N</v>
      </c>
      <c r="I823" s="2" t="str">
        <f>VLOOKUP(A823,Holidays!$A$2:$C$2107,3,1)</f>
        <v>N</v>
      </c>
    </row>
    <row r="824" spans="1:9" x14ac:dyDescent="0.45">
      <c r="A824" s="1">
        <v>42827</v>
      </c>
      <c r="B824">
        <v>94477.095000000001</v>
      </c>
      <c r="C824">
        <v>92.915735170000005</v>
      </c>
      <c r="D824" s="2">
        <v>11.7</v>
      </c>
      <c r="E824" s="2">
        <v>18.2</v>
      </c>
      <c r="F824" s="2">
        <v>10.1</v>
      </c>
      <c r="G824" s="2">
        <v>0.4</v>
      </c>
      <c r="H824" s="2" t="str">
        <f>VLOOKUP(A824,Holidays!$A$2:$B$2107,2,1)</f>
        <v>N</v>
      </c>
      <c r="I824" s="2" t="str">
        <f>VLOOKUP(A824,Holidays!$A$2:$C$2107,3,1)</f>
        <v>N</v>
      </c>
    </row>
    <row r="825" spans="1:9" x14ac:dyDescent="0.45">
      <c r="A825" s="1">
        <v>42828</v>
      </c>
      <c r="B825">
        <v>107895.52499999999</v>
      </c>
      <c r="C825">
        <v>106.4521598</v>
      </c>
      <c r="D825" s="2">
        <v>8.1999999999999993</v>
      </c>
      <c r="E825" s="2">
        <v>21.5</v>
      </c>
      <c r="F825" s="2">
        <v>16.8</v>
      </c>
      <c r="G825" s="2">
        <v>0</v>
      </c>
      <c r="H825" s="2" t="str">
        <f>VLOOKUP(A825,Holidays!$A$2:$B$2107,2,1)</f>
        <v>N</v>
      </c>
      <c r="I825" s="2" t="str">
        <f>VLOOKUP(A825,Holidays!$A$2:$C$2107,3,1)</f>
        <v>N</v>
      </c>
    </row>
    <row r="826" spans="1:9" x14ac:dyDescent="0.45">
      <c r="A826" s="1">
        <v>42829</v>
      </c>
      <c r="B826">
        <v>113138.67</v>
      </c>
      <c r="C826">
        <v>122.6614787</v>
      </c>
      <c r="D826" s="2">
        <v>10</v>
      </c>
      <c r="E826" s="2">
        <v>24.4</v>
      </c>
      <c r="F826" s="2">
        <v>16.399999999999999</v>
      </c>
      <c r="G826" s="2">
        <v>0</v>
      </c>
      <c r="H826" s="2" t="str">
        <f>VLOOKUP(A826,Holidays!$A$2:$B$2107,2,1)</f>
        <v>N</v>
      </c>
      <c r="I826" s="2" t="str">
        <f>VLOOKUP(A826,Holidays!$A$2:$C$2107,3,1)</f>
        <v>N</v>
      </c>
    </row>
    <row r="827" spans="1:9" x14ac:dyDescent="0.45">
      <c r="A827" s="1">
        <v>42830</v>
      </c>
      <c r="B827">
        <v>114191.35</v>
      </c>
      <c r="C827">
        <v>142.28042669999999</v>
      </c>
      <c r="D827" s="2">
        <v>11</v>
      </c>
      <c r="E827" s="2">
        <v>25.4</v>
      </c>
      <c r="F827" s="2">
        <v>15.8</v>
      </c>
      <c r="G827" s="2">
        <v>0</v>
      </c>
      <c r="H827" s="2" t="str">
        <f>VLOOKUP(A827,Holidays!$A$2:$B$2107,2,1)</f>
        <v>N</v>
      </c>
      <c r="I827" s="2" t="str">
        <f>VLOOKUP(A827,Holidays!$A$2:$C$2107,3,1)</f>
        <v>N</v>
      </c>
    </row>
    <row r="828" spans="1:9" x14ac:dyDescent="0.45">
      <c r="A828" s="1">
        <v>42831</v>
      </c>
      <c r="B828">
        <v>114817.30499999999</v>
      </c>
      <c r="C828">
        <v>126.18198750000001</v>
      </c>
      <c r="D828" s="2">
        <v>12</v>
      </c>
      <c r="E828" s="2">
        <v>26.6</v>
      </c>
      <c r="F828" s="2">
        <v>13.5</v>
      </c>
      <c r="G828" s="2">
        <v>0</v>
      </c>
      <c r="H828" s="2" t="str">
        <f>VLOOKUP(A828,Holidays!$A$2:$B$2107,2,1)</f>
        <v>N</v>
      </c>
      <c r="I828" s="2" t="str">
        <f>VLOOKUP(A828,Holidays!$A$2:$C$2107,3,1)</f>
        <v>N</v>
      </c>
    </row>
    <row r="829" spans="1:9" x14ac:dyDescent="0.45">
      <c r="A829" s="1">
        <v>42832</v>
      </c>
      <c r="B829">
        <v>110160.02499999999</v>
      </c>
      <c r="C829">
        <v>101.330421</v>
      </c>
      <c r="D829" s="2">
        <v>12.7</v>
      </c>
      <c r="E829" s="2">
        <v>26.2</v>
      </c>
      <c r="F829" s="2">
        <v>15.6</v>
      </c>
      <c r="G829" s="2">
        <v>0</v>
      </c>
      <c r="H829" s="2" t="str">
        <f>VLOOKUP(A829,Holidays!$A$2:$B$2107,2,1)</f>
        <v>N</v>
      </c>
      <c r="I829" s="2" t="str">
        <f>VLOOKUP(A829,Holidays!$A$2:$C$2107,3,1)</f>
        <v>N</v>
      </c>
    </row>
    <row r="830" spans="1:9" x14ac:dyDescent="0.45">
      <c r="A830" s="1">
        <v>42833</v>
      </c>
      <c r="B830">
        <v>99084.74</v>
      </c>
      <c r="C830">
        <v>95.867977690000004</v>
      </c>
      <c r="D830" s="2">
        <v>18.600000000000001</v>
      </c>
      <c r="E830" s="2">
        <v>28.1</v>
      </c>
      <c r="F830" s="2">
        <v>13.8</v>
      </c>
      <c r="G830" s="2">
        <v>0</v>
      </c>
      <c r="H830" s="2" t="str">
        <f>VLOOKUP(A830,Holidays!$A$2:$B$2107,2,1)</f>
        <v>N</v>
      </c>
      <c r="I830" s="2" t="str">
        <f>VLOOKUP(A830,Holidays!$A$2:$C$2107,3,1)</f>
        <v>N</v>
      </c>
    </row>
    <row r="831" spans="1:9" x14ac:dyDescent="0.45">
      <c r="A831" s="1">
        <v>42834</v>
      </c>
      <c r="B831">
        <v>96041.895000000004</v>
      </c>
      <c r="C831">
        <v>74.591633180000002</v>
      </c>
      <c r="D831" s="2">
        <v>11.7</v>
      </c>
      <c r="E831" s="2">
        <v>15.2</v>
      </c>
      <c r="F831" s="2">
        <v>6.5</v>
      </c>
      <c r="G831" s="2">
        <v>10.6</v>
      </c>
      <c r="H831" s="2" t="str">
        <f>VLOOKUP(A831,Holidays!$A$2:$B$2107,2,1)</f>
        <v>N</v>
      </c>
      <c r="I831" s="2" t="str">
        <f>VLOOKUP(A831,Holidays!$A$2:$C$2107,3,1)</f>
        <v>N</v>
      </c>
    </row>
    <row r="832" spans="1:9" x14ac:dyDescent="0.45">
      <c r="A832" s="1">
        <v>42835</v>
      </c>
      <c r="B832">
        <v>113287.05499999999</v>
      </c>
      <c r="C832">
        <v>111.8004887</v>
      </c>
      <c r="D832" s="2">
        <v>9</v>
      </c>
      <c r="E832" s="2">
        <v>17</v>
      </c>
      <c r="F832" s="2">
        <v>3</v>
      </c>
      <c r="G832" s="2">
        <v>25.4</v>
      </c>
      <c r="H832" s="2" t="str">
        <f>VLOOKUP(A832,Holidays!$A$2:$B$2107,2,1)</f>
        <v>N</v>
      </c>
      <c r="I832" s="2" t="str">
        <f>VLOOKUP(A832,Holidays!$A$2:$C$2107,3,1)</f>
        <v>N</v>
      </c>
    </row>
    <row r="833" spans="1:9" x14ac:dyDescent="0.45">
      <c r="A833" s="1">
        <v>42836</v>
      </c>
      <c r="B833">
        <v>114159.965</v>
      </c>
      <c r="C833">
        <v>130.03687339999999</v>
      </c>
      <c r="D833" s="2">
        <v>12.3</v>
      </c>
      <c r="E833" s="2">
        <v>18.5</v>
      </c>
      <c r="F833" s="2">
        <v>13.5</v>
      </c>
      <c r="G833" s="2">
        <v>15.4</v>
      </c>
      <c r="H833" s="2" t="str">
        <f>VLOOKUP(A833,Holidays!$A$2:$B$2107,2,1)</f>
        <v>N</v>
      </c>
      <c r="I833" s="2" t="str">
        <f>VLOOKUP(A833,Holidays!$A$2:$C$2107,3,1)</f>
        <v>N</v>
      </c>
    </row>
    <row r="834" spans="1:9" x14ac:dyDescent="0.45">
      <c r="A834" s="1">
        <v>42837</v>
      </c>
      <c r="B834">
        <v>114335.995</v>
      </c>
      <c r="C834">
        <v>126.572879</v>
      </c>
      <c r="D834" s="2">
        <v>10.8</v>
      </c>
      <c r="E834" s="2">
        <v>19.3</v>
      </c>
      <c r="F834" s="2">
        <v>14</v>
      </c>
      <c r="G834" s="2">
        <v>0</v>
      </c>
      <c r="H834" s="2" t="str">
        <f>VLOOKUP(A834,Holidays!$A$2:$B$2107,2,1)</f>
        <v>N</v>
      </c>
      <c r="I834" s="2" t="str">
        <f>VLOOKUP(A834,Holidays!$A$2:$C$2107,3,1)</f>
        <v>N</v>
      </c>
    </row>
    <row r="835" spans="1:9" x14ac:dyDescent="0.45">
      <c r="A835" s="1">
        <v>42838</v>
      </c>
      <c r="B835">
        <v>112704.045</v>
      </c>
      <c r="C835">
        <v>117.53565020000001</v>
      </c>
      <c r="D835" s="2">
        <v>10.9</v>
      </c>
      <c r="E835" s="2">
        <v>22.2</v>
      </c>
      <c r="F835" s="2">
        <v>13.9</v>
      </c>
      <c r="G835" s="2">
        <v>0</v>
      </c>
      <c r="H835" s="2" t="str">
        <f>VLOOKUP(A835,Holidays!$A$2:$B$2107,2,1)</f>
        <v>N</v>
      </c>
      <c r="I835" s="2" t="str">
        <f>VLOOKUP(A835,Holidays!$A$2:$C$2107,3,1)</f>
        <v>N</v>
      </c>
    </row>
    <row r="836" spans="1:9" x14ac:dyDescent="0.45">
      <c r="A836" s="1">
        <v>42839</v>
      </c>
      <c r="B836">
        <v>97436.41</v>
      </c>
      <c r="C836">
        <v>109.7650221</v>
      </c>
      <c r="D836" s="2">
        <v>13</v>
      </c>
      <c r="E836" s="2">
        <v>17.899999999999999</v>
      </c>
      <c r="F836" s="2">
        <v>8.9</v>
      </c>
      <c r="G836" s="2">
        <v>0</v>
      </c>
      <c r="H836" s="2" t="str">
        <f>VLOOKUP(A836,Holidays!$A$2:$B$2107,2,1)</f>
        <v>N</v>
      </c>
      <c r="I836" s="2" t="str">
        <f>VLOOKUP(A836,Holidays!$A$2:$C$2107,3,1)</f>
        <v>Y</v>
      </c>
    </row>
    <row r="837" spans="1:9" x14ac:dyDescent="0.45">
      <c r="A837" s="1">
        <v>42840</v>
      </c>
      <c r="B837">
        <v>99608.57</v>
      </c>
      <c r="C837">
        <v>116.78284910000001</v>
      </c>
      <c r="D837" s="2">
        <v>11.8</v>
      </c>
      <c r="E837" s="2">
        <v>17.3</v>
      </c>
      <c r="F837" s="2">
        <v>9.6999999999999993</v>
      </c>
      <c r="G837" s="2">
        <v>0</v>
      </c>
      <c r="H837" s="2" t="str">
        <f>VLOOKUP(A837,Holidays!$A$2:$B$2107,2,1)</f>
        <v>N</v>
      </c>
      <c r="I837" s="2" t="str">
        <f>VLOOKUP(A837,Holidays!$A$2:$C$2107,3,1)</f>
        <v>Y</v>
      </c>
    </row>
    <row r="838" spans="1:9" x14ac:dyDescent="0.45">
      <c r="A838" s="1">
        <v>42841</v>
      </c>
      <c r="B838">
        <v>96594.744999999995</v>
      </c>
      <c r="C838">
        <v>95.646407010000004</v>
      </c>
      <c r="D838" s="2">
        <v>9.9</v>
      </c>
      <c r="E838" s="2">
        <v>22.6</v>
      </c>
      <c r="F838" s="2">
        <v>10.1</v>
      </c>
      <c r="G838" s="2">
        <v>0</v>
      </c>
      <c r="H838" s="2" t="str">
        <f>VLOOKUP(A838,Holidays!$A$2:$B$2107,2,1)</f>
        <v>N</v>
      </c>
      <c r="I838" s="2" t="str">
        <f>VLOOKUP(A838,Holidays!$A$2:$C$2107,3,1)</f>
        <v>Y</v>
      </c>
    </row>
    <row r="839" spans="1:9" x14ac:dyDescent="0.45">
      <c r="A839" s="1">
        <v>42842</v>
      </c>
      <c r="B839">
        <v>99945.494999999995</v>
      </c>
      <c r="C839">
        <v>104.57818949999999</v>
      </c>
      <c r="D839" s="2">
        <v>11.1</v>
      </c>
      <c r="E839" s="2">
        <v>18.3</v>
      </c>
      <c r="F839" s="2">
        <v>10.9</v>
      </c>
      <c r="G839" s="2">
        <v>0</v>
      </c>
      <c r="H839" s="2" t="str">
        <f>VLOOKUP(A839,Holidays!$A$2:$B$2107,2,1)</f>
        <v>N</v>
      </c>
      <c r="I839" s="2" t="str">
        <f>VLOOKUP(A839,Holidays!$A$2:$C$2107,3,1)</f>
        <v>Y</v>
      </c>
    </row>
    <row r="840" spans="1:9" x14ac:dyDescent="0.45">
      <c r="A840" s="1">
        <v>42843</v>
      </c>
      <c r="B840">
        <v>111955.175</v>
      </c>
      <c r="C840">
        <v>112.8247059</v>
      </c>
      <c r="D840" s="2">
        <v>9.5</v>
      </c>
      <c r="E840" s="2">
        <v>20.399999999999999</v>
      </c>
      <c r="F840" s="2">
        <v>13.7</v>
      </c>
      <c r="G840" s="2">
        <v>0</v>
      </c>
      <c r="H840" s="2" t="str">
        <f>VLOOKUP(A840,Holidays!$A$2:$B$2107,2,1)</f>
        <v>N</v>
      </c>
      <c r="I840" s="2" t="str">
        <f>VLOOKUP(A840,Holidays!$A$2:$C$2107,3,1)</f>
        <v>N</v>
      </c>
    </row>
    <row r="841" spans="1:9" x14ac:dyDescent="0.45">
      <c r="A841" s="1">
        <v>42844</v>
      </c>
      <c r="B841">
        <v>114436.97</v>
      </c>
      <c r="C841">
        <v>101.3145524</v>
      </c>
      <c r="D841" s="2">
        <v>13</v>
      </c>
      <c r="E841" s="2">
        <v>26.9</v>
      </c>
      <c r="F841" s="2">
        <v>12.7</v>
      </c>
      <c r="G841" s="2">
        <v>0</v>
      </c>
      <c r="H841" s="2" t="str">
        <f>VLOOKUP(A841,Holidays!$A$2:$B$2107,2,1)</f>
        <v>Y</v>
      </c>
      <c r="I841" s="2" t="str">
        <f>VLOOKUP(A841,Holidays!$A$2:$C$2107,3,1)</f>
        <v>N</v>
      </c>
    </row>
    <row r="842" spans="1:9" x14ac:dyDescent="0.45">
      <c r="A842" s="1">
        <v>42845</v>
      </c>
      <c r="B842">
        <v>112816.68</v>
      </c>
      <c r="C842">
        <v>104.07810310000001</v>
      </c>
      <c r="D842" s="2">
        <v>14.6</v>
      </c>
      <c r="E842" s="2">
        <v>26.5</v>
      </c>
      <c r="F842" s="2">
        <v>12.4</v>
      </c>
      <c r="G842" s="2">
        <v>0</v>
      </c>
      <c r="H842" s="2" t="str">
        <f>VLOOKUP(A842,Holidays!$A$2:$B$2107,2,1)</f>
        <v>Y</v>
      </c>
      <c r="I842" s="2" t="str">
        <f>VLOOKUP(A842,Holidays!$A$2:$C$2107,3,1)</f>
        <v>N</v>
      </c>
    </row>
    <row r="843" spans="1:9" x14ac:dyDescent="0.45">
      <c r="A843" s="1">
        <v>42846</v>
      </c>
      <c r="B843">
        <v>114522.44</v>
      </c>
      <c r="C843">
        <v>133.2265993</v>
      </c>
      <c r="D843" s="2">
        <v>16.5</v>
      </c>
      <c r="E843" s="2">
        <v>20.9</v>
      </c>
      <c r="F843" s="2">
        <v>3.6</v>
      </c>
      <c r="G843" s="2">
        <v>9.4</v>
      </c>
      <c r="H843" s="2" t="str">
        <f>VLOOKUP(A843,Holidays!$A$2:$B$2107,2,1)</f>
        <v>Y</v>
      </c>
      <c r="I843" s="2" t="str">
        <f>VLOOKUP(A843,Holidays!$A$2:$C$2107,3,1)</f>
        <v>N</v>
      </c>
    </row>
    <row r="844" spans="1:9" x14ac:dyDescent="0.45">
      <c r="A844" s="1">
        <v>42847</v>
      </c>
      <c r="B844">
        <v>102528.4</v>
      </c>
      <c r="C844">
        <v>111.6671228</v>
      </c>
      <c r="D844" s="2">
        <v>16.899999999999999</v>
      </c>
      <c r="E844" s="2">
        <v>22.5</v>
      </c>
      <c r="F844" s="2">
        <v>11.8</v>
      </c>
      <c r="G844" s="2">
        <v>4.5999999999999996</v>
      </c>
      <c r="H844" s="2" t="str">
        <f>VLOOKUP(A844,Holidays!$A$2:$B$2107,2,1)</f>
        <v>Y</v>
      </c>
      <c r="I844" s="2" t="str">
        <f>VLOOKUP(A844,Holidays!$A$2:$C$2107,3,1)</f>
        <v>N</v>
      </c>
    </row>
    <row r="845" spans="1:9" x14ac:dyDescent="0.45">
      <c r="A845" s="1">
        <v>42848</v>
      </c>
      <c r="B845">
        <v>97356.565000000002</v>
      </c>
      <c r="C845">
        <v>90.726651050000001</v>
      </c>
      <c r="D845" s="2">
        <v>14.4</v>
      </c>
      <c r="E845" s="2">
        <v>21.8</v>
      </c>
      <c r="F845" s="2">
        <v>11.9</v>
      </c>
      <c r="G845" s="2">
        <v>0</v>
      </c>
      <c r="H845" s="2" t="str">
        <f>VLOOKUP(A845,Holidays!$A$2:$B$2107,2,1)</f>
        <v>Y</v>
      </c>
      <c r="I845" s="2" t="str">
        <f>VLOOKUP(A845,Holidays!$A$2:$C$2107,3,1)</f>
        <v>N</v>
      </c>
    </row>
    <row r="846" spans="1:9" x14ac:dyDescent="0.45">
      <c r="A846" s="1">
        <v>42849</v>
      </c>
      <c r="B846">
        <v>109421.815</v>
      </c>
      <c r="C846">
        <v>113.2589368</v>
      </c>
      <c r="D846" s="2">
        <v>15.9</v>
      </c>
      <c r="E846" s="2">
        <v>24.7</v>
      </c>
      <c r="F846" s="2">
        <v>9.9</v>
      </c>
      <c r="G846" s="2">
        <v>0</v>
      </c>
      <c r="H846" s="2" t="str">
        <f>VLOOKUP(A846,Holidays!$A$2:$B$2107,2,1)</f>
        <v>Y</v>
      </c>
      <c r="I846" s="2" t="str">
        <f>VLOOKUP(A846,Holidays!$A$2:$C$2107,3,1)</f>
        <v>N</v>
      </c>
    </row>
    <row r="847" spans="1:9" x14ac:dyDescent="0.45">
      <c r="A847" s="1">
        <v>42850</v>
      </c>
      <c r="B847">
        <v>101548.735</v>
      </c>
      <c r="C847">
        <v>86.790072550000005</v>
      </c>
      <c r="D847" s="2">
        <v>16.2</v>
      </c>
      <c r="E847" s="2">
        <v>17.7</v>
      </c>
      <c r="F847" s="2">
        <v>5.8</v>
      </c>
      <c r="G847" s="2">
        <v>21.6</v>
      </c>
      <c r="H847" s="2" t="str">
        <f>VLOOKUP(A847,Holidays!$A$2:$B$2107,2,1)</f>
        <v>Y</v>
      </c>
      <c r="I847" s="2" t="str">
        <f>VLOOKUP(A847,Holidays!$A$2:$C$2107,3,1)</f>
        <v>Y</v>
      </c>
    </row>
    <row r="848" spans="1:9" x14ac:dyDescent="0.45">
      <c r="A848" s="1">
        <v>42851</v>
      </c>
      <c r="B848">
        <v>116795.245</v>
      </c>
      <c r="C848">
        <v>100.69868460000001</v>
      </c>
      <c r="D848" s="2">
        <v>10.1</v>
      </c>
      <c r="E848" s="2">
        <v>14.5</v>
      </c>
      <c r="F848" s="2">
        <v>6.4</v>
      </c>
      <c r="G848" s="2">
        <v>20</v>
      </c>
      <c r="H848" s="2" t="str">
        <f>VLOOKUP(A848,Holidays!$A$2:$B$2107,2,1)</f>
        <v>Y</v>
      </c>
      <c r="I848" s="2" t="str">
        <f>VLOOKUP(A848,Holidays!$A$2:$C$2107,3,1)</f>
        <v>N</v>
      </c>
    </row>
    <row r="849" spans="1:9" x14ac:dyDescent="0.45">
      <c r="A849" s="1">
        <v>42852</v>
      </c>
      <c r="B849">
        <v>126329.53</v>
      </c>
      <c r="C849">
        <v>145.68273490000001</v>
      </c>
      <c r="D849" s="2">
        <v>8.3000000000000007</v>
      </c>
      <c r="E849" s="2">
        <v>15.6</v>
      </c>
      <c r="F849" s="2">
        <v>7.1</v>
      </c>
      <c r="G849" s="2">
        <v>15.4</v>
      </c>
      <c r="H849" s="2" t="str">
        <f>VLOOKUP(A849,Holidays!$A$2:$B$2107,2,1)</f>
        <v>Y</v>
      </c>
      <c r="I849" s="2" t="str">
        <f>VLOOKUP(A849,Holidays!$A$2:$C$2107,3,1)</f>
        <v>N</v>
      </c>
    </row>
    <row r="850" spans="1:9" x14ac:dyDescent="0.45">
      <c r="A850" s="1">
        <v>42853</v>
      </c>
      <c r="B850">
        <v>120144.19</v>
      </c>
      <c r="C850">
        <v>120.8095221</v>
      </c>
      <c r="D850" s="2">
        <v>9.4</v>
      </c>
      <c r="E850" s="2">
        <v>19.8</v>
      </c>
      <c r="F850" s="2">
        <v>6</v>
      </c>
      <c r="G850" s="2">
        <v>0.4</v>
      </c>
      <c r="H850" s="2" t="str">
        <f>VLOOKUP(A850,Holidays!$A$2:$B$2107,2,1)</f>
        <v>Y</v>
      </c>
      <c r="I850" s="2" t="str">
        <f>VLOOKUP(A850,Holidays!$A$2:$C$2107,3,1)</f>
        <v>N</v>
      </c>
    </row>
    <row r="851" spans="1:9" x14ac:dyDescent="0.45">
      <c r="A851" s="1">
        <v>42854</v>
      </c>
      <c r="B851">
        <v>104864.05</v>
      </c>
      <c r="C851">
        <v>100.81967</v>
      </c>
      <c r="D851" s="2">
        <v>14.9</v>
      </c>
      <c r="E851" s="2">
        <v>18.100000000000001</v>
      </c>
      <c r="F851" s="2">
        <v>7.9</v>
      </c>
      <c r="G851" s="2">
        <v>0.2</v>
      </c>
      <c r="H851" s="2" t="str">
        <f>VLOOKUP(A851,Holidays!$A$2:$B$2107,2,1)</f>
        <v>Y</v>
      </c>
      <c r="I851" s="2" t="str">
        <f>VLOOKUP(A851,Holidays!$A$2:$C$2107,3,1)</f>
        <v>N</v>
      </c>
    </row>
    <row r="852" spans="1:9" x14ac:dyDescent="0.45">
      <c r="A852" s="1">
        <v>42855</v>
      </c>
      <c r="B852">
        <v>103756.535</v>
      </c>
      <c r="C852">
        <v>109.5772954</v>
      </c>
      <c r="D852" s="2">
        <v>13.6</v>
      </c>
      <c r="E852" s="2">
        <v>17.8</v>
      </c>
      <c r="F852" s="2">
        <v>7.3</v>
      </c>
      <c r="G852" s="2">
        <v>0</v>
      </c>
      <c r="H852" s="2" t="str">
        <f>VLOOKUP(A852,Holidays!$A$2:$B$2107,2,1)</f>
        <v>Y</v>
      </c>
      <c r="I852" s="2" t="str">
        <f>VLOOKUP(A852,Holidays!$A$2:$C$2107,3,1)</f>
        <v>N</v>
      </c>
    </row>
    <row r="853" spans="1:9" x14ac:dyDescent="0.45">
      <c r="A853" s="1">
        <v>42856</v>
      </c>
      <c r="B853">
        <v>115103.77499999999</v>
      </c>
      <c r="C853">
        <v>99.159474029999998</v>
      </c>
      <c r="D853" s="2">
        <v>13.6</v>
      </c>
      <c r="E853" s="2">
        <v>20.399999999999999</v>
      </c>
      <c r="F853" s="2">
        <v>8.6999999999999993</v>
      </c>
      <c r="G853" s="2">
        <v>0</v>
      </c>
      <c r="H853" s="2" t="str">
        <f>VLOOKUP(A853,Holidays!$A$2:$B$2107,2,1)</f>
        <v>Y</v>
      </c>
      <c r="I853" s="2" t="str">
        <f>VLOOKUP(A853,Holidays!$A$2:$C$2107,3,1)</f>
        <v>N</v>
      </c>
    </row>
    <row r="854" spans="1:9" x14ac:dyDescent="0.45">
      <c r="A854" s="1">
        <v>42857</v>
      </c>
      <c r="B854">
        <v>120718.64</v>
      </c>
      <c r="C854">
        <v>109.9227693</v>
      </c>
      <c r="D854" s="2">
        <v>10.4</v>
      </c>
      <c r="E854" s="2">
        <v>15.2</v>
      </c>
      <c r="F854" s="2">
        <v>9.4</v>
      </c>
      <c r="G854" s="2">
        <v>2.4</v>
      </c>
      <c r="H854" s="2" t="str">
        <f>VLOOKUP(A854,Holidays!$A$2:$B$2107,2,1)</f>
        <v>Y</v>
      </c>
      <c r="I854" s="2" t="str">
        <f>VLOOKUP(A854,Holidays!$A$2:$C$2107,3,1)</f>
        <v>N</v>
      </c>
    </row>
    <row r="855" spans="1:9" x14ac:dyDescent="0.45">
      <c r="A855" s="1">
        <v>42858</v>
      </c>
      <c r="B855">
        <v>129196.44500000001</v>
      </c>
      <c r="C855">
        <v>128.63995560000001</v>
      </c>
      <c r="D855" s="2">
        <v>7.4</v>
      </c>
      <c r="E855" s="2">
        <v>15.3</v>
      </c>
      <c r="F855" s="2">
        <v>10.8</v>
      </c>
      <c r="G855" s="2">
        <v>0.8</v>
      </c>
      <c r="H855" s="2" t="str">
        <f>VLOOKUP(A855,Holidays!$A$2:$B$2107,2,1)</f>
        <v>Y</v>
      </c>
      <c r="I855" s="2" t="str">
        <f>VLOOKUP(A855,Holidays!$A$2:$C$2107,3,1)</f>
        <v>N</v>
      </c>
    </row>
    <row r="856" spans="1:9" x14ac:dyDescent="0.45">
      <c r="A856" s="1">
        <v>42859</v>
      </c>
      <c r="B856">
        <v>127260.05</v>
      </c>
      <c r="C856">
        <v>123.4720662</v>
      </c>
      <c r="D856" s="2">
        <v>5.8</v>
      </c>
      <c r="E856" s="2">
        <v>16.899999999999999</v>
      </c>
      <c r="F856" s="2">
        <v>12</v>
      </c>
      <c r="G856" s="2">
        <v>0</v>
      </c>
      <c r="H856" s="2" t="str">
        <f>VLOOKUP(A856,Holidays!$A$2:$B$2107,2,1)</f>
        <v>Y</v>
      </c>
      <c r="I856" s="2" t="str">
        <f>VLOOKUP(A856,Holidays!$A$2:$C$2107,3,1)</f>
        <v>N</v>
      </c>
    </row>
    <row r="857" spans="1:9" x14ac:dyDescent="0.45">
      <c r="A857" s="1">
        <v>42860</v>
      </c>
      <c r="B857">
        <v>123150.38499999999</v>
      </c>
      <c r="C857">
        <v>108.2886014</v>
      </c>
      <c r="D857" s="2">
        <v>6.2</v>
      </c>
      <c r="E857" s="2">
        <v>20.5</v>
      </c>
      <c r="F857" s="2">
        <v>10.6</v>
      </c>
      <c r="G857" s="2">
        <v>0</v>
      </c>
      <c r="H857" s="2" t="str">
        <f>VLOOKUP(A857,Holidays!$A$2:$B$2107,2,1)</f>
        <v>Y</v>
      </c>
      <c r="I857" s="2" t="str">
        <f>VLOOKUP(A857,Holidays!$A$2:$C$2107,3,1)</f>
        <v>N</v>
      </c>
    </row>
    <row r="858" spans="1:9" x14ac:dyDescent="0.45">
      <c r="A858" s="1">
        <v>42861</v>
      </c>
      <c r="B858">
        <v>105013.07</v>
      </c>
      <c r="C858">
        <v>81.778327349999998</v>
      </c>
      <c r="D858" s="2">
        <v>9.6</v>
      </c>
      <c r="E858" s="2">
        <v>20</v>
      </c>
      <c r="F858" s="2">
        <v>6.1</v>
      </c>
      <c r="G858" s="2">
        <v>0.2</v>
      </c>
      <c r="H858" s="2" t="str">
        <f>VLOOKUP(A858,Holidays!$A$2:$B$2107,2,1)</f>
        <v>Y</v>
      </c>
      <c r="I858" s="2" t="str">
        <f>VLOOKUP(A858,Holidays!$A$2:$C$2107,3,1)</f>
        <v>N</v>
      </c>
    </row>
    <row r="859" spans="1:9" x14ac:dyDescent="0.45">
      <c r="A859" s="1">
        <v>42862</v>
      </c>
      <c r="B859">
        <v>107424.07</v>
      </c>
      <c r="C859">
        <v>104.9084029</v>
      </c>
      <c r="D859" s="2">
        <v>8.9</v>
      </c>
      <c r="E859" s="2">
        <v>14.8</v>
      </c>
      <c r="F859" s="2">
        <v>9.4</v>
      </c>
      <c r="G859" s="2">
        <v>1.4</v>
      </c>
      <c r="H859" s="2" t="str">
        <f>VLOOKUP(A859,Holidays!$A$2:$B$2107,2,1)</f>
        <v>Y</v>
      </c>
      <c r="I859" s="2" t="str">
        <f>VLOOKUP(A859,Holidays!$A$2:$C$2107,3,1)</f>
        <v>N</v>
      </c>
    </row>
    <row r="860" spans="1:9" x14ac:dyDescent="0.45">
      <c r="A860" s="1">
        <v>42863</v>
      </c>
      <c r="B860">
        <v>125858.27</v>
      </c>
      <c r="C860">
        <v>132.9735336</v>
      </c>
      <c r="D860" s="2">
        <v>10.1</v>
      </c>
      <c r="E860" s="2">
        <v>15.8</v>
      </c>
      <c r="F860" s="2">
        <v>7.2</v>
      </c>
      <c r="G860" s="2">
        <v>1.8</v>
      </c>
      <c r="H860" s="2" t="str">
        <f>VLOOKUP(A860,Holidays!$A$2:$B$2107,2,1)</f>
        <v>Y</v>
      </c>
      <c r="I860" s="2" t="str">
        <f>VLOOKUP(A860,Holidays!$A$2:$C$2107,3,1)</f>
        <v>N</v>
      </c>
    </row>
    <row r="861" spans="1:9" x14ac:dyDescent="0.45">
      <c r="A861" s="1">
        <v>42864</v>
      </c>
      <c r="B861">
        <v>126760.71</v>
      </c>
      <c r="C861">
        <v>138.99141549999999</v>
      </c>
      <c r="D861" s="2">
        <v>10.9</v>
      </c>
      <c r="E861" s="2">
        <v>15.9</v>
      </c>
      <c r="F861" s="2">
        <v>7.3</v>
      </c>
      <c r="G861" s="2">
        <v>1.6</v>
      </c>
      <c r="H861" s="2" t="str">
        <f>VLOOKUP(A861,Holidays!$A$2:$B$2107,2,1)</f>
        <v>Y</v>
      </c>
      <c r="I861" s="2" t="str">
        <f>VLOOKUP(A861,Holidays!$A$2:$C$2107,3,1)</f>
        <v>N</v>
      </c>
    </row>
    <row r="862" spans="1:9" x14ac:dyDescent="0.45">
      <c r="A862" s="1">
        <v>42865</v>
      </c>
      <c r="B862">
        <v>125747.735</v>
      </c>
      <c r="C862">
        <v>149.62274859999999</v>
      </c>
      <c r="D862" s="2">
        <v>8.1</v>
      </c>
      <c r="E862" s="2">
        <v>17.7</v>
      </c>
      <c r="F862" s="2">
        <v>11.3</v>
      </c>
      <c r="G862" s="2">
        <v>0</v>
      </c>
      <c r="H862" s="2" t="str">
        <f>VLOOKUP(A862,Holidays!$A$2:$B$2107,2,1)</f>
        <v>Y</v>
      </c>
      <c r="I862" s="2" t="str">
        <f>VLOOKUP(A862,Holidays!$A$2:$C$2107,3,1)</f>
        <v>N</v>
      </c>
    </row>
    <row r="863" spans="1:9" x14ac:dyDescent="0.45">
      <c r="A863" s="1">
        <v>42866</v>
      </c>
      <c r="B863">
        <v>128753.13</v>
      </c>
      <c r="C863">
        <v>170.29264480000001</v>
      </c>
      <c r="D863" s="2">
        <v>6.1</v>
      </c>
      <c r="E863" s="2">
        <v>16.5</v>
      </c>
      <c r="F863" s="2">
        <v>8.6</v>
      </c>
      <c r="G863" s="2">
        <v>0</v>
      </c>
      <c r="H863" s="2" t="str">
        <f>VLOOKUP(A863,Holidays!$A$2:$B$2107,2,1)</f>
        <v>Y</v>
      </c>
      <c r="I863" s="2" t="str">
        <f>VLOOKUP(A863,Holidays!$A$2:$C$2107,3,1)</f>
        <v>N</v>
      </c>
    </row>
    <row r="864" spans="1:9" x14ac:dyDescent="0.45">
      <c r="A864" s="1">
        <v>42867</v>
      </c>
      <c r="B864">
        <v>123523</v>
      </c>
      <c r="C864">
        <v>129.30937700000001</v>
      </c>
      <c r="D864" s="2">
        <v>5.9</v>
      </c>
      <c r="E864" s="2">
        <v>19.5</v>
      </c>
      <c r="F864" s="2">
        <v>9.9</v>
      </c>
      <c r="G864" s="2">
        <v>0</v>
      </c>
      <c r="H864" s="2" t="str">
        <f>VLOOKUP(A864,Holidays!$A$2:$B$2107,2,1)</f>
        <v>Y</v>
      </c>
      <c r="I864" s="2" t="str">
        <f>VLOOKUP(A864,Holidays!$A$2:$C$2107,3,1)</f>
        <v>N</v>
      </c>
    </row>
    <row r="865" spans="1:9" x14ac:dyDescent="0.45">
      <c r="A865" s="1">
        <v>42868</v>
      </c>
      <c r="B865">
        <v>109477.42</v>
      </c>
      <c r="C865">
        <v>130.31682979999999</v>
      </c>
      <c r="D865" s="2">
        <v>8.4</v>
      </c>
      <c r="E865" s="2">
        <v>15.6</v>
      </c>
      <c r="F865" s="2">
        <v>10.1</v>
      </c>
      <c r="G865" s="2">
        <v>0.2</v>
      </c>
      <c r="H865" s="2" t="str">
        <f>VLOOKUP(A865,Holidays!$A$2:$B$2107,2,1)</f>
        <v>Y</v>
      </c>
      <c r="I865" s="2" t="str">
        <f>VLOOKUP(A865,Holidays!$A$2:$C$2107,3,1)</f>
        <v>N</v>
      </c>
    </row>
    <row r="866" spans="1:9" x14ac:dyDescent="0.45">
      <c r="A866" s="1">
        <v>42869</v>
      </c>
      <c r="B866">
        <v>107497.03</v>
      </c>
      <c r="C866">
        <v>126.9174946</v>
      </c>
      <c r="D866" s="2">
        <v>6.4</v>
      </c>
      <c r="E866" s="2">
        <v>15.1</v>
      </c>
      <c r="F866" s="2">
        <v>7.7</v>
      </c>
      <c r="G866" s="2">
        <v>0</v>
      </c>
      <c r="H866" s="2" t="str">
        <f>VLOOKUP(A866,Holidays!$A$2:$B$2107,2,1)</f>
        <v>Y</v>
      </c>
      <c r="I866" s="2" t="str">
        <f>VLOOKUP(A866,Holidays!$A$2:$C$2107,3,1)</f>
        <v>N</v>
      </c>
    </row>
    <row r="867" spans="1:9" x14ac:dyDescent="0.45">
      <c r="A867" s="1">
        <v>42870</v>
      </c>
      <c r="B867">
        <v>125871.91499999999</v>
      </c>
      <c r="C867">
        <v>134.64203240000001</v>
      </c>
      <c r="D867" s="2">
        <v>6.3</v>
      </c>
      <c r="E867" s="2">
        <v>16.899999999999999</v>
      </c>
      <c r="F867" s="2">
        <v>8.1999999999999993</v>
      </c>
      <c r="G867" s="2">
        <v>0</v>
      </c>
      <c r="H867" s="2" t="str">
        <f>VLOOKUP(A867,Holidays!$A$2:$B$2107,2,1)</f>
        <v>Y</v>
      </c>
      <c r="I867" s="2" t="str">
        <f>VLOOKUP(A867,Holidays!$A$2:$C$2107,3,1)</f>
        <v>N</v>
      </c>
    </row>
    <row r="868" spans="1:9" x14ac:dyDescent="0.45">
      <c r="A868" s="1">
        <v>42871</v>
      </c>
      <c r="B868">
        <v>127820.715</v>
      </c>
      <c r="C868">
        <v>128.3149076</v>
      </c>
      <c r="D868" s="2">
        <v>5.6</v>
      </c>
      <c r="E868" s="2">
        <v>18.2</v>
      </c>
      <c r="F868" s="2">
        <v>9</v>
      </c>
      <c r="G868" s="2">
        <v>0</v>
      </c>
      <c r="H868" s="2" t="str">
        <f>VLOOKUP(A868,Holidays!$A$2:$B$2107,2,1)</f>
        <v>Y</v>
      </c>
      <c r="I868" s="2" t="str">
        <f>VLOOKUP(A868,Holidays!$A$2:$C$2107,3,1)</f>
        <v>N</v>
      </c>
    </row>
    <row r="869" spans="1:9" x14ac:dyDescent="0.45">
      <c r="A869" s="1">
        <v>42872</v>
      </c>
      <c r="B869">
        <v>125072.675</v>
      </c>
      <c r="C869">
        <v>123.8345994</v>
      </c>
      <c r="D869" s="2">
        <v>7.6</v>
      </c>
      <c r="E869" s="2">
        <v>17</v>
      </c>
      <c r="F869" s="2">
        <v>3.8</v>
      </c>
      <c r="G869" s="2">
        <v>0</v>
      </c>
      <c r="H869" s="2" t="str">
        <f>VLOOKUP(A869,Holidays!$A$2:$B$2107,2,1)</f>
        <v>Y</v>
      </c>
      <c r="I869" s="2" t="str">
        <f>VLOOKUP(A869,Holidays!$A$2:$C$2107,3,1)</f>
        <v>N</v>
      </c>
    </row>
    <row r="870" spans="1:9" x14ac:dyDescent="0.45">
      <c r="A870" s="1">
        <v>42873</v>
      </c>
      <c r="B870">
        <v>122910.48</v>
      </c>
      <c r="C870">
        <v>107.8423351</v>
      </c>
      <c r="D870" s="2">
        <v>10.7</v>
      </c>
      <c r="E870" s="2">
        <v>20.2</v>
      </c>
      <c r="F870" s="2">
        <v>9.8000000000000007</v>
      </c>
      <c r="G870" s="2">
        <v>0.8</v>
      </c>
      <c r="H870" s="2" t="str">
        <f>VLOOKUP(A870,Holidays!$A$2:$B$2107,2,1)</f>
        <v>Y</v>
      </c>
      <c r="I870" s="2" t="str">
        <f>VLOOKUP(A870,Holidays!$A$2:$C$2107,3,1)</f>
        <v>N</v>
      </c>
    </row>
    <row r="871" spans="1:9" x14ac:dyDescent="0.45">
      <c r="A871" s="1">
        <v>42874</v>
      </c>
      <c r="B871">
        <v>123351.45</v>
      </c>
      <c r="C871">
        <v>96.440249769999994</v>
      </c>
      <c r="D871" s="2">
        <v>10.199999999999999</v>
      </c>
      <c r="E871" s="2">
        <v>17.8</v>
      </c>
      <c r="F871" s="2">
        <v>2.5</v>
      </c>
      <c r="G871" s="2">
        <v>0</v>
      </c>
      <c r="H871" s="2" t="str">
        <f>VLOOKUP(A871,Holidays!$A$2:$B$2107,2,1)</f>
        <v>Y</v>
      </c>
      <c r="I871" s="2" t="str">
        <f>VLOOKUP(A871,Holidays!$A$2:$C$2107,3,1)</f>
        <v>N</v>
      </c>
    </row>
    <row r="872" spans="1:9" x14ac:dyDescent="0.45">
      <c r="A872" s="1">
        <v>42875</v>
      </c>
      <c r="B872">
        <v>109111.61500000001</v>
      </c>
      <c r="C872">
        <v>88.135879099999997</v>
      </c>
      <c r="D872" s="2">
        <v>10.199999999999999</v>
      </c>
      <c r="E872" s="2">
        <v>19.3</v>
      </c>
      <c r="F872" s="2">
        <v>9.8000000000000007</v>
      </c>
      <c r="G872" s="2">
        <v>0</v>
      </c>
      <c r="H872" s="2" t="str">
        <f>VLOOKUP(A872,Holidays!$A$2:$B$2107,2,1)</f>
        <v>Y</v>
      </c>
      <c r="I872" s="2" t="str">
        <f>VLOOKUP(A872,Holidays!$A$2:$C$2107,3,1)</f>
        <v>N</v>
      </c>
    </row>
    <row r="873" spans="1:9" x14ac:dyDescent="0.45">
      <c r="A873" s="1">
        <v>42876</v>
      </c>
      <c r="B873">
        <v>105912.16</v>
      </c>
      <c r="C873">
        <v>76.782179819999996</v>
      </c>
      <c r="D873" s="2">
        <v>10.8</v>
      </c>
      <c r="E873" s="2">
        <v>18.7</v>
      </c>
      <c r="F873" s="2">
        <v>6.8</v>
      </c>
      <c r="G873" s="2">
        <v>0</v>
      </c>
      <c r="H873" s="2" t="str">
        <f>VLOOKUP(A873,Holidays!$A$2:$B$2107,2,1)</f>
        <v>Y</v>
      </c>
      <c r="I873" s="2" t="str">
        <f>VLOOKUP(A873,Holidays!$A$2:$C$2107,3,1)</f>
        <v>N</v>
      </c>
    </row>
    <row r="874" spans="1:9" x14ac:dyDescent="0.45">
      <c r="A874" s="1">
        <v>42877</v>
      </c>
      <c r="B874">
        <v>113551.03999999999</v>
      </c>
      <c r="C874">
        <v>72.931488029999997</v>
      </c>
      <c r="D874" s="2">
        <v>10.4</v>
      </c>
      <c r="E874" s="2">
        <v>20.3</v>
      </c>
      <c r="F874" s="2">
        <v>10.1</v>
      </c>
      <c r="G874" s="2">
        <v>0</v>
      </c>
      <c r="H874" s="2" t="str">
        <f>VLOOKUP(A874,Holidays!$A$2:$B$2107,2,1)</f>
        <v>Y</v>
      </c>
      <c r="I874" s="2" t="str">
        <f>VLOOKUP(A874,Holidays!$A$2:$C$2107,3,1)</f>
        <v>N</v>
      </c>
    </row>
    <row r="875" spans="1:9" x14ac:dyDescent="0.45">
      <c r="A875" s="1">
        <v>42878</v>
      </c>
      <c r="B875">
        <v>119127.205</v>
      </c>
      <c r="C875">
        <v>96.837634640000005</v>
      </c>
      <c r="D875" s="2">
        <v>12.8</v>
      </c>
      <c r="E875" s="2">
        <v>19.3</v>
      </c>
      <c r="F875" s="2">
        <v>7.4</v>
      </c>
      <c r="G875" s="2">
        <v>0</v>
      </c>
      <c r="H875" s="2" t="str">
        <f>VLOOKUP(A875,Holidays!$A$2:$B$2107,2,1)</f>
        <v>Y</v>
      </c>
      <c r="I875" s="2" t="str">
        <f>VLOOKUP(A875,Holidays!$A$2:$C$2107,3,1)</f>
        <v>N</v>
      </c>
    </row>
    <row r="876" spans="1:9" x14ac:dyDescent="0.45">
      <c r="A876" s="1">
        <v>42879</v>
      </c>
      <c r="B876">
        <v>121571.97</v>
      </c>
      <c r="C876">
        <v>103.2410383</v>
      </c>
      <c r="D876" s="2">
        <v>11.7</v>
      </c>
      <c r="E876" s="2">
        <v>17.100000000000001</v>
      </c>
      <c r="F876" s="2">
        <v>8</v>
      </c>
      <c r="G876" s="2">
        <v>0</v>
      </c>
      <c r="H876" s="2" t="str">
        <f>VLOOKUP(A876,Holidays!$A$2:$B$2107,2,1)</f>
        <v>Y</v>
      </c>
      <c r="I876" s="2" t="str">
        <f>VLOOKUP(A876,Holidays!$A$2:$C$2107,3,1)</f>
        <v>N</v>
      </c>
    </row>
    <row r="877" spans="1:9" x14ac:dyDescent="0.45">
      <c r="A877" s="1">
        <v>42880</v>
      </c>
      <c r="B877">
        <v>124010.03</v>
      </c>
      <c r="C877">
        <v>108.51901340000001</v>
      </c>
      <c r="D877" s="2">
        <v>13.7</v>
      </c>
      <c r="E877" s="2">
        <v>18.5</v>
      </c>
      <c r="F877" s="2">
        <v>5.7</v>
      </c>
      <c r="G877" s="2">
        <v>0</v>
      </c>
      <c r="H877" s="2" t="str">
        <f>VLOOKUP(A877,Holidays!$A$2:$B$2107,2,1)</f>
        <v>Y</v>
      </c>
      <c r="I877" s="2" t="str">
        <f>VLOOKUP(A877,Holidays!$A$2:$C$2107,3,1)</f>
        <v>N</v>
      </c>
    </row>
    <row r="878" spans="1:9" x14ac:dyDescent="0.45">
      <c r="A878" s="1">
        <v>42881</v>
      </c>
      <c r="B878">
        <v>123130.6</v>
      </c>
      <c r="C878">
        <v>94.696229970000005</v>
      </c>
      <c r="D878" s="2">
        <v>13.1</v>
      </c>
      <c r="E878" s="2">
        <v>18</v>
      </c>
      <c r="F878" s="2">
        <v>8.1999999999999993</v>
      </c>
      <c r="G878" s="2">
        <v>0</v>
      </c>
      <c r="H878" s="2" t="str">
        <f>VLOOKUP(A878,Holidays!$A$2:$B$2107,2,1)</f>
        <v>Y</v>
      </c>
      <c r="I878" s="2" t="str">
        <f>VLOOKUP(A878,Holidays!$A$2:$C$2107,3,1)</f>
        <v>N</v>
      </c>
    </row>
    <row r="879" spans="1:9" x14ac:dyDescent="0.45">
      <c r="A879" s="1">
        <v>42882</v>
      </c>
      <c r="B879">
        <v>104643.675</v>
      </c>
      <c r="C879">
        <v>60.860101950000001</v>
      </c>
      <c r="D879" s="2">
        <v>11.9</v>
      </c>
      <c r="E879" s="2">
        <v>17.8</v>
      </c>
      <c r="F879" s="2">
        <v>8.3000000000000007</v>
      </c>
      <c r="G879" s="2">
        <v>0</v>
      </c>
      <c r="H879" s="2" t="str">
        <f>VLOOKUP(A879,Holidays!$A$2:$B$2107,2,1)</f>
        <v>Y</v>
      </c>
      <c r="I879" s="2" t="str">
        <f>VLOOKUP(A879,Holidays!$A$2:$C$2107,3,1)</f>
        <v>N</v>
      </c>
    </row>
    <row r="880" spans="1:9" x14ac:dyDescent="0.45">
      <c r="A880" s="1">
        <v>42883</v>
      </c>
      <c r="B880">
        <v>110029.55</v>
      </c>
      <c r="C880">
        <v>72.341641420000002</v>
      </c>
      <c r="D880" s="2">
        <v>10.199999999999999</v>
      </c>
      <c r="E880" s="2">
        <v>15.3</v>
      </c>
      <c r="F880" s="2">
        <v>7.6</v>
      </c>
      <c r="G880" s="2">
        <v>6.8</v>
      </c>
      <c r="H880" s="2" t="str">
        <f>VLOOKUP(A880,Holidays!$A$2:$B$2107,2,1)</f>
        <v>Y</v>
      </c>
      <c r="I880" s="2" t="str">
        <f>VLOOKUP(A880,Holidays!$A$2:$C$2107,3,1)</f>
        <v>N</v>
      </c>
    </row>
    <row r="881" spans="1:9" x14ac:dyDescent="0.45">
      <c r="A881" s="1">
        <v>42884</v>
      </c>
      <c r="B881">
        <v>130516.1</v>
      </c>
      <c r="C881">
        <v>96.084781000000007</v>
      </c>
      <c r="D881" s="2">
        <v>7.7</v>
      </c>
      <c r="E881" s="2">
        <v>14.8</v>
      </c>
      <c r="F881" s="2">
        <v>8</v>
      </c>
      <c r="G881" s="2">
        <v>1.4</v>
      </c>
      <c r="H881" s="2" t="str">
        <f>VLOOKUP(A881,Holidays!$A$2:$B$2107,2,1)</f>
        <v>Y</v>
      </c>
      <c r="I881" s="2" t="str">
        <f>VLOOKUP(A881,Holidays!$A$2:$C$2107,3,1)</f>
        <v>N</v>
      </c>
    </row>
    <row r="882" spans="1:9" x14ac:dyDescent="0.45">
      <c r="A882" s="1">
        <v>42885</v>
      </c>
      <c r="B882">
        <v>132762.38</v>
      </c>
      <c r="C882">
        <v>95.714474339999995</v>
      </c>
      <c r="D882" s="2">
        <v>9.3000000000000007</v>
      </c>
      <c r="E882" s="2">
        <v>13.1</v>
      </c>
      <c r="F882" s="2">
        <v>6.9</v>
      </c>
      <c r="G882" s="2">
        <v>2.2000000000000002</v>
      </c>
      <c r="H882" s="2" t="str">
        <f>VLOOKUP(A882,Holidays!$A$2:$B$2107,2,1)</f>
        <v>Y</v>
      </c>
      <c r="I882" s="2" t="str">
        <f>VLOOKUP(A882,Holidays!$A$2:$C$2107,3,1)</f>
        <v>N</v>
      </c>
    </row>
    <row r="883" spans="1:9" x14ac:dyDescent="0.45">
      <c r="A883" s="1">
        <v>42886</v>
      </c>
      <c r="B883">
        <v>139030.79500000001</v>
      </c>
      <c r="C883">
        <v>120.64923159999999</v>
      </c>
      <c r="D883" s="2">
        <v>6.7</v>
      </c>
      <c r="E883" s="2">
        <v>13</v>
      </c>
      <c r="F883" s="2">
        <v>8.5</v>
      </c>
      <c r="G883" s="2">
        <v>5.4</v>
      </c>
      <c r="H883" s="2" t="str">
        <f>VLOOKUP(A883,Holidays!$A$2:$B$2107,2,1)</f>
        <v>Y</v>
      </c>
      <c r="I883" s="2" t="str">
        <f>VLOOKUP(A883,Holidays!$A$2:$C$2107,3,1)</f>
        <v>N</v>
      </c>
    </row>
    <row r="884" spans="1:9" x14ac:dyDescent="0.45">
      <c r="A884" s="1">
        <v>42887</v>
      </c>
      <c r="B884">
        <v>140202.73499999999</v>
      </c>
      <c r="C884">
        <v>113.3116143</v>
      </c>
      <c r="D884" s="2">
        <v>7.9</v>
      </c>
      <c r="E884" s="2">
        <v>13.9</v>
      </c>
      <c r="F884" s="2">
        <v>4.7</v>
      </c>
      <c r="G884" s="2">
        <v>0.4</v>
      </c>
      <c r="H884" s="2" t="str">
        <f>VLOOKUP(A884,Holidays!$A$2:$B$2107,2,1)</f>
        <v>Y</v>
      </c>
      <c r="I884" s="2" t="str">
        <f>VLOOKUP(A884,Holidays!$A$2:$C$2107,3,1)</f>
        <v>N</v>
      </c>
    </row>
    <row r="885" spans="1:9" x14ac:dyDescent="0.45">
      <c r="A885" s="1">
        <v>42888</v>
      </c>
      <c r="B885">
        <v>136856.79999999999</v>
      </c>
      <c r="C885">
        <v>96.837747410000006</v>
      </c>
      <c r="D885" s="2">
        <v>8</v>
      </c>
      <c r="E885" s="2">
        <v>14.7</v>
      </c>
      <c r="F885" s="2">
        <v>7.3</v>
      </c>
      <c r="G885" s="2">
        <v>0</v>
      </c>
      <c r="H885" s="2" t="str">
        <f>VLOOKUP(A885,Holidays!$A$2:$B$2107,2,1)</f>
        <v>Y</v>
      </c>
      <c r="I885" s="2" t="str">
        <f>VLOOKUP(A885,Holidays!$A$2:$C$2107,3,1)</f>
        <v>N</v>
      </c>
    </row>
    <row r="886" spans="1:9" x14ac:dyDescent="0.45">
      <c r="A886" s="1">
        <v>42889</v>
      </c>
      <c r="B886">
        <v>122161.405</v>
      </c>
      <c r="C886">
        <v>107.24572980000001</v>
      </c>
      <c r="D886" s="2">
        <v>9.9</v>
      </c>
      <c r="E886" s="2">
        <v>14.3</v>
      </c>
      <c r="F886" s="2">
        <v>8.3000000000000007</v>
      </c>
      <c r="G886" s="2">
        <v>0</v>
      </c>
      <c r="H886" s="2" t="str">
        <f>VLOOKUP(A886,Holidays!$A$2:$B$2107,2,1)</f>
        <v>Y</v>
      </c>
      <c r="I886" s="2" t="str">
        <f>VLOOKUP(A886,Holidays!$A$2:$C$2107,3,1)</f>
        <v>N</v>
      </c>
    </row>
    <row r="887" spans="1:9" x14ac:dyDescent="0.45">
      <c r="A887" s="1">
        <v>42890</v>
      </c>
      <c r="B887">
        <v>118953.95</v>
      </c>
      <c r="C887">
        <v>109.7429759</v>
      </c>
      <c r="D887" s="2">
        <v>4.4000000000000004</v>
      </c>
      <c r="E887" s="2">
        <v>15.8</v>
      </c>
      <c r="F887" s="2">
        <v>9.3000000000000007</v>
      </c>
      <c r="G887" s="2">
        <v>0</v>
      </c>
      <c r="H887" s="2" t="str">
        <f>VLOOKUP(A887,Holidays!$A$2:$B$2107,2,1)</f>
        <v>Y</v>
      </c>
      <c r="I887" s="2" t="str">
        <f>VLOOKUP(A887,Holidays!$A$2:$C$2107,3,1)</f>
        <v>N</v>
      </c>
    </row>
    <row r="888" spans="1:9" x14ac:dyDescent="0.45">
      <c r="A888" s="1">
        <v>42891</v>
      </c>
      <c r="B888">
        <v>132877.45000000001</v>
      </c>
      <c r="C888">
        <v>101.13227740000001</v>
      </c>
      <c r="D888" s="2">
        <v>5.6</v>
      </c>
      <c r="E888" s="2">
        <v>17.5</v>
      </c>
      <c r="F888" s="2">
        <v>5</v>
      </c>
      <c r="G888" s="2">
        <v>0</v>
      </c>
      <c r="H888" s="2" t="str">
        <f>VLOOKUP(A888,Holidays!$A$2:$B$2107,2,1)</f>
        <v>Y</v>
      </c>
      <c r="I888" s="2" t="str">
        <f>VLOOKUP(A888,Holidays!$A$2:$C$2107,3,1)</f>
        <v>N</v>
      </c>
    </row>
    <row r="889" spans="1:9" x14ac:dyDescent="0.45">
      <c r="A889" s="1">
        <v>42892</v>
      </c>
      <c r="B889">
        <v>133274.53</v>
      </c>
      <c r="C889">
        <v>97.892460380000003</v>
      </c>
      <c r="D889" s="2">
        <v>8.6999999999999993</v>
      </c>
      <c r="E889" s="2">
        <v>13.9</v>
      </c>
      <c r="F889" s="2">
        <v>6.3</v>
      </c>
      <c r="G889" s="2">
        <v>6.4</v>
      </c>
      <c r="H889" s="2" t="str">
        <f>VLOOKUP(A889,Holidays!$A$2:$B$2107,2,1)</f>
        <v>Y</v>
      </c>
      <c r="I889" s="2" t="str">
        <f>VLOOKUP(A889,Holidays!$A$2:$C$2107,3,1)</f>
        <v>N</v>
      </c>
    </row>
    <row r="890" spans="1:9" x14ac:dyDescent="0.45">
      <c r="A890" s="1">
        <v>42893</v>
      </c>
      <c r="B890">
        <v>136116.12</v>
      </c>
      <c r="C890">
        <v>105.69616809999999</v>
      </c>
      <c r="D890" s="2">
        <v>5.9</v>
      </c>
      <c r="E890" s="2">
        <v>14.3</v>
      </c>
      <c r="F890" s="2">
        <v>9.1999999999999993</v>
      </c>
      <c r="G890" s="2">
        <v>0</v>
      </c>
      <c r="H890" s="2" t="str">
        <f>VLOOKUP(A890,Holidays!$A$2:$B$2107,2,1)</f>
        <v>Y</v>
      </c>
      <c r="I890" s="2" t="str">
        <f>VLOOKUP(A890,Holidays!$A$2:$C$2107,3,1)</f>
        <v>N</v>
      </c>
    </row>
    <row r="891" spans="1:9" x14ac:dyDescent="0.45">
      <c r="A891" s="1">
        <v>42894</v>
      </c>
      <c r="B891">
        <v>139511.78</v>
      </c>
      <c r="C891">
        <v>110.1268719</v>
      </c>
      <c r="D891" s="2">
        <v>3.6</v>
      </c>
      <c r="E891" s="2">
        <v>15</v>
      </c>
      <c r="F891" s="2">
        <v>7.2</v>
      </c>
      <c r="G891" s="2">
        <v>0</v>
      </c>
      <c r="H891" s="2" t="str">
        <f>VLOOKUP(A891,Holidays!$A$2:$B$2107,2,1)</f>
        <v>Y</v>
      </c>
      <c r="I891" s="2" t="str">
        <f>VLOOKUP(A891,Holidays!$A$2:$C$2107,3,1)</f>
        <v>N</v>
      </c>
    </row>
    <row r="892" spans="1:9" x14ac:dyDescent="0.45">
      <c r="A892" s="1">
        <v>42895</v>
      </c>
      <c r="B892">
        <v>130994.54</v>
      </c>
      <c r="C892">
        <v>99.977135680000004</v>
      </c>
      <c r="D892" s="2">
        <v>6.6</v>
      </c>
      <c r="E892" s="2">
        <v>15</v>
      </c>
      <c r="F892" s="2">
        <v>7.8</v>
      </c>
      <c r="G892" s="2">
        <v>1.8</v>
      </c>
      <c r="H892" s="2" t="str">
        <f>VLOOKUP(A892,Holidays!$A$2:$B$2107,2,1)</f>
        <v>Y</v>
      </c>
      <c r="I892" s="2" t="str">
        <f>VLOOKUP(A892,Holidays!$A$2:$C$2107,3,1)</f>
        <v>N</v>
      </c>
    </row>
    <row r="893" spans="1:9" x14ac:dyDescent="0.45">
      <c r="A893" s="1">
        <v>42896</v>
      </c>
      <c r="B893">
        <v>120698.91499999999</v>
      </c>
      <c r="C893">
        <v>97.622124130000003</v>
      </c>
      <c r="D893" s="2">
        <v>7</v>
      </c>
      <c r="E893" s="2">
        <v>15.8</v>
      </c>
      <c r="F893" s="2">
        <v>8.9</v>
      </c>
      <c r="G893" s="2">
        <v>0</v>
      </c>
      <c r="H893" s="2" t="str">
        <f>VLOOKUP(A893,Holidays!$A$2:$B$2107,2,1)</f>
        <v>Y</v>
      </c>
      <c r="I893" s="2" t="str">
        <f>VLOOKUP(A893,Holidays!$A$2:$C$2107,3,1)</f>
        <v>N</v>
      </c>
    </row>
    <row r="894" spans="1:9" x14ac:dyDescent="0.45">
      <c r="A894" s="1">
        <v>42897</v>
      </c>
      <c r="B894">
        <v>113374.465</v>
      </c>
      <c r="C894">
        <v>87.883388569999994</v>
      </c>
      <c r="D894" s="2">
        <v>3.4</v>
      </c>
      <c r="E894" s="2">
        <v>15.5</v>
      </c>
      <c r="F894" s="2">
        <v>8.6</v>
      </c>
      <c r="G894" s="2">
        <v>0.2</v>
      </c>
      <c r="H894" s="2" t="str">
        <f>VLOOKUP(A894,Holidays!$A$2:$B$2107,2,1)</f>
        <v>Y</v>
      </c>
      <c r="I894" s="2" t="str">
        <f>VLOOKUP(A894,Holidays!$A$2:$C$2107,3,1)</f>
        <v>N</v>
      </c>
    </row>
    <row r="895" spans="1:9" x14ac:dyDescent="0.45">
      <c r="A895" s="1">
        <v>42898</v>
      </c>
      <c r="B895">
        <v>117691.685</v>
      </c>
      <c r="C895">
        <v>101.70609880000001</v>
      </c>
      <c r="D895" s="2">
        <v>6</v>
      </c>
      <c r="E895" s="2">
        <v>15.9</v>
      </c>
      <c r="F895" s="2">
        <v>5.0999999999999996</v>
      </c>
      <c r="G895" s="2">
        <v>0</v>
      </c>
      <c r="H895" s="2" t="str">
        <f>VLOOKUP(A895,Holidays!$A$2:$B$2107,2,1)</f>
        <v>Y</v>
      </c>
      <c r="I895" s="2" t="str">
        <f>VLOOKUP(A895,Holidays!$A$2:$C$2107,3,1)</f>
        <v>Y</v>
      </c>
    </row>
    <row r="896" spans="1:9" x14ac:dyDescent="0.45">
      <c r="A896" s="1">
        <v>42899</v>
      </c>
      <c r="B896">
        <v>135184.95000000001</v>
      </c>
      <c r="C896">
        <v>109.9512443</v>
      </c>
      <c r="D896" s="2">
        <v>8.8000000000000007</v>
      </c>
      <c r="E896" s="2">
        <v>15.1</v>
      </c>
      <c r="F896" s="2">
        <v>6.6</v>
      </c>
      <c r="G896" s="2">
        <v>0</v>
      </c>
      <c r="H896" s="2" t="str">
        <f>VLOOKUP(A896,Holidays!$A$2:$B$2107,2,1)</f>
        <v>Y</v>
      </c>
      <c r="I896" s="2" t="str">
        <f>VLOOKUP(A896,Holidays!$A$2:$C$2107,3,1)</f>
        <v>N</v>
      </c>
    </row>
    <row r="897" spans="1:9" x14ac:dyDescent="0.45">
      <c r="A897" s="1">
        <v>42900</v>
      </c>
      <c r="B897">
        <v>136253.42000000001</v>
      </c>
      <c r="C897">
        <v>93.589782150000005</v>
      </c>
      <c r="D897" s="2">
        <v>4</v>
      </c>
      <c r="E897" s="2">
        <v>17.399999999999999</v>
      </c>
      <c r="F897" s="2">
        <v>8.9</v>
      </c>
      <c r="G897" s="2">
        <v>0</v>
      </c>
      <c r="H897" s="2" t="str">
        <f>VLOOKUP(A897,Holidays!$A$2:$B$2107,2,1)</f>
        <v>Y</v>
      </c>
      <c r="I897" s="2" t="str">
        <f>VLOOKUP(A897,Holidays!$A$2:$C$2107,3,1)</f>
        <v>N</v>
      </c>
    </row>
    <row r="898" spans="1:9" x14ac:dyDescent="0.45">
      <c r="A898" s="1">
        <v>42901</v>
      </c>
      <c r="B898">
        <v>135303.255</v>
      </c>
      <c r="C898">
        <v>102.837272</v>
      </c>
      <c r="D898" s="2">
        <v>7.7</v>
      </c>
      <c r="E898" s="2">
        <v>19</v>
      </c>
      <c r="F898" s="2">
        <v>7.4</v>
      </c>
      <c r="G898" s="2">
        <v>0</v>
      </c>
      <c r="H898" s="2" t="str">
        <f>VLOOKUP(A898,Holidays!$A$2:$B$2107,2,1)</f>
        <v>Y</v>
      </c>
      <c r="I898" s="2" t="str">
        <f>VLOOKUP(A898,Holidays!$A$2:$C$2107,3,1)</f>
        <v>N</v>
      </c>
    </row>
    <row r="899" spans="1:9" x14ac:dyDescent="0.45">
      <c r="A899" s="1">
        <v>42902</v>
      </c>
      <c r="B899">
        <v>135269.63500000001</v>
      </c>
      <c r="C899">
        <v>107.362224</v>
      </c>
      <c r="D899" s="2">
        <v>6.6</v>
      </c>
      <c r="E899" s="2">
        <v>17.100000000000001</v>
      </c>
      <c r="F899" s="2">
        <v>8.9</v>
      </c>
      <c r="G899" s="2">
        <v>0</v>
      </c>
      <c r="H899" s="2" t="str">
        <f>VLOOKUP(A899,Holidays!$A$2:$B$2107,2,1)</f>
        <v>Y</v>
      </c>
      <c r="I899" s="2" t="str">
        <f>VLOOKUP(A899,Holidays!$A$2:$C$2107,3,1)</f>
        <v>N</v>
      </c>
    </row>
    <row r="900" spans="1:9" x14ac:dyDescent="0.45">
      <c r="A900" s="1">
        <v>42903</v>
      </c>
      <c r="B900">
        <v>121178.68</v>
      </c>
      <c r="C900">
        <v>104.2875868</v>
      </c>
      <c r="D900" s="2">
        <v>4.2</v>
      </c>
      <c r="E900" s="2">
        <v>15.5</v>
      </c>
      <c r="F900" s="2">
        <v>9.1999999999999993</v>
      </c>
      <c r="G900" s="2">
        <v>0</v>
      </c>
      <c r="H900" s="2" t="str">
        <f>VLOOKUP(A900,Holidays!$A$2:$B$2107,2,1)</f>
        <v>Y</v>
      </c>
      <c r="I900" s="2" t="str">
        <f>VLOOKUP(A900,Holidays!$A$2:$C$2107,3,1)</f>
        <v>N</v>
      </c>
    </row>
    <row r="901" spans="1:9" x14ac:dyDescent="0.45">
      <c r="A901" s="1">
        <v>42904</v>
      </c>
      <c r="B901">
        <v>116112.74</v>
      </c>
      <c r="C901">
        <v>93.616927630000006</v>
      </c>
      <c r="D901" s="2">
        <v>5.4</v>
      </c>
      <c r="E901" s="2">
        <v>16.3</v>
      </c>
      <c r="F901" s="2">
        <v>7.9</v>
      </c>
      <c r="G901" s="2">
        <v>0</v>
      </c>
      <c r="H901" s="2" t="str">
        <f>VLOOKUP(A901,Holidays!$A$2:$B$2107,2,1)</f>
        <v>Y</v>
      </c>
      <c r="I901" s="2" t="str">
        <f>VLOOKUP(A901,Holidays!$A$2:$C$2107,3,1)</f>
        <v>N</v>
      </c>
    </row>
    <row r="902" spans="1:9" x14ac:dyDescent="0.45">
      <c r="A902" s="1">
        <v>42905</v>
      </c>
      <c r="B902">
        <v>134925.74</v>
      </c>
      <c r="C902">
        <v>95.96949334</v>
      </c>
      <c r="D902" s="2">
        <v>7.1</v>
      </c>
      <c r="E902" s="2">
        <v>16.100000000000001</v>
      </c>
      <c r="F902" s="2">
        <v>6</v>
      </c>
      <c r="G902" s="2">
        <v>0</v>
      </c>
      <c r="H902" s="2" t="str">
        <f>VLOOKUP(A902,Holidays!$A$2:$B$2107,2,1)</f>
        <v>Y</v>
      </c>
      <c r="I902" s="2" t="str">
        <f>VLOOKUP(A902,Holidays!$A$2:$C$2107,3,1)</f>
        <v>N</v>
      </c>
    </row>
    <row r="903" spans="1:9" x14ac:dyDescent="0.45">
      <c r="A903" s="1">
        <v>42906</v>
      </c>
      <c r="B903">
        <v>131996.97</v>
      </c>
      <c r="C903">
        <v>85.797832029999995</v>
      </c>
      <c r="D903" s="2">
        <v>6.4</v>
      </c>
      <c r="E903" s="2">
        <v>15.8</v>
      </c>
      <c r="F903" s="2">
        <v>9.1999999999999993</v>
      </c>
      <c r="G903" s="2">
        <v>0</v>
      </c>
      <c r="H903" s="2" t="str">
        <f>VLOOKUP(A903,Holidays!$A$2:$B$2107,2,1)</f>
        <v>Y</v>
      </c>
      <c r="I903" s="2" t="str">
        <f>VLOOKUP(A903,Holidays!$A$2:$C$2107,3,1)</f>
        <v>N</v>
      </c>
    </row>
    <row r="904" spans="1:9" x14ac:dyDescent="0.45">
      <c r="A904" s="1">
        <v>42907</v>
      </c>
      <c r="B904">
        <v>139814.29999999999</v>
      </c>
      <c r="C904">
        <v>106.9667247</v>
      </c>
      <c r="D904" s="2">
        <v>7.8</v>
      </c>
      <c r="E904" s="2">
        <v>13.5</v>
      </c>
      <c r="F904" s="2">
        <v>5</v>
      </c>
      <c r="G904" s="2">
        <v>0.6</v>
      </c>
      <c r="H904" s="2" t="str">
        <f>VLOOKUP(A904,Holidays!$A$2:$B$2107,2,1)</f>
        <v>Y</v>
      </c>
      <c r="I904" s="2" t="str">
        <f>VLOOKUP(A904,Holidays!$A$2:$C$2107,3,1)</f>
        <v>N</v>
      </c>
    </row>
    <row r="905" spans="1:9" x14ac:dyDescent="0.45">
      <c r="A905" s="1">
        <v>42908</v>
      </c>
      <c r="B905">
        <v>140348.57</v>
      </c>
      <c r="C905">
        <v>94.858967509999999</v>
      </c>
      <c r="D905" s="2">
        <v>6.7</v>
      </c>
      <c r="E905" s="2">
        <v>14.1</v>
      </c>
      <c r="F905" s="2">
        <v>6.7</v>
      </c>
      <c r="G905" s="2">
        <v>0.2</v>
      </c>
      <c r="H905" s="2" t="str">
        <f>VLOOKUP(A905,Holidays!$A$2:$B$2107,2,1)</f>
        <v>Y</v>
      </c>
      <c r="I905" s="2" t="str">
        <f>VLOOKUP(A905,Holidays!$A$2:$C$2107,3,1)</f>
        <v>N</v>
      </c>
    </row>
    <row r="906" spans="1:9" x14ac:dyDescent="0.45">
      <c r="A906" s="1">
        <v>42909</v>
      </c>
      <c r="B906">
        <v>132029.57500000001</v>
      </c>
      <c r="C906">
        <v>80.269938710000005</v>
      </c>
      <c r="D906" s="2">
        <v>7.4</v>
      </c>
      <c r="E906" s="2">
        <v>14.9</v>
      </c>
      <c r="F906" s="2">
        <v>8.1999999999999993</v>
      </c>
      <c r="G906" s="2">
        <v>0</v>
      </c>
      <c r="H906" s="2" t="str">
        <f>VLOOKUP(A906,Holidays!$A$2:$B$2107,2,1)</f>
        <v>Y</v>
      </c>
      <c r="I906" s="2" t="str">
        <f>VLOOKUP(A906,Holidays!$A$2:$C$2107,3,1)</f>
        <v>N</v>
      </c>
    </row>
    <row r="907" spans="1:9" x14ac:dyDescent="0.45">
      <c r="A907" s="1">
        <v>42910</v>
      </c>
      <c r="B907">
        <v>122393.325</v>
      </c>
      <c r="C907">
        <v>84.970944450000005</v>
      </c>
      <c r="D907" s="2">
        <v>8.3000000000000007</v>
      </c>
      <c r="E907" s="2">
        <v>12.3</v>
      </c>
      <c r="F907" s="2">
        <v>7.3</v>
      </c>
      <c r="G907" s="2">
        <v>1.4</v>
      </c>
      <c r="H907" s="2" t="str">
        <f>VLOOKUP(A907,Holidays!$A$2:$B$2107,2,1)</f>
        <v>Y</v>
      </c>
      <c r="I907" s="2" t="str">
        <f>VLOOKUP(A907,Holidays!$A$2:$C$2107,3,1)</f>
        <v>N</v>
      </c>
    </row>
    <row r="908" spans="1:9" x14ac:dyDescent="0.45">
      <c r="A908" s="1">
        <v>42911</v>
      </c>
      <c r="B908">
        <v>118103.86500000001</v>
      </c>
      <c r="C908">
        <v>72.870515380000001</v>
      </c>
      <c r="D908" s="2">
        <v>8.6</v>
      </c>
      <c r="E908" s="2">
        <v>14.3</v>
      </c>
      <c r="F908" s="2">
        <v>5.3</v>
      </c>
      <c r="G908" s="2">
        <v>0</v>
      </c>
      <c r="H908" s="2" t="str">
        <f>VLOOKUP(A908,Holidays!$A$2:$B$2107,2,1)</f>
        <v>Y</v>
      </c>
      <c r="I908" s="2" t="str">
        <f>VLOOKUP(A908,Holidays!$A$2:$C$2107,3,1)</f>
        <v>N</v>
      </c>
    </row>
    <row r="909" spans="1:9" x14ac:dyDescent="0.45">
      <c r="A909" s="1">
        <v>42912</v>
      </c>
      <c r="B909">
        <v>138040.38</v>
      </c>
      <c r="C909">
        <v>104.3154945</v>
      </c>
      <c r="D909" s="2">
        <v>8.8000000000000007</v>
      </c>
      <c r="E909" s="2">
        <v>12.6</v>
      </c>
      <c r="F909" s="2">
        <v>7.8</v>
      </c>
      <c r="G909" s="2">
        <v>1.4</v>
      </c>
      <c r="H909" s="2" t="str">
        <f>VLOOKUP(A909,Holidays!$A$2:$B$2107,2,1)</f>
        <v>Y</v>
      </c>
      <c r="I909" s="2" t="str">
        <f>VLOOKUP(A909,Holidays!$A$2:$C$2107,3,1)</f>
        <v>N</v>
      </c>
    </row>
    <row r="910" spans="1:9" x14ac:dyDescent="0.45">
      <c r="A910" s="1">
        <v>42913</v>
      </c>
      <c r="B910">
        <v>144526.63</v>
      </c>
      <c r="C910">
        <v>100.1993406</v>
      </c>
      <c r="D910" s="2">
        <v>6</v>
      </c>
      <c r="E910" s="2">
        <v>12.1</v>
      </c>
      <c r="F910" s="2">
        <v>4.4000000000000004</v>
      </c>
      <c r="G910" s="2">
        <v>0</v>
      </c>
      <c r="H910" s="2" t="str">
        <f>VLOOKUP(A910,Holidays!$A$2:$B$2107,2,1)</f>
        <v>Y</v>
      </c>
      <c r="I910" s="2" t="str">
        <f>VLOOKUP(A910,Holidays!$A$2:$C$2107,3,1)</f>
        <v>N</v>
      </c>
    </row>
    <row r="911" spans="1:9" x14ac:dyDescent="0.45">
      <c r="A911" s="1">
        <v>42914</v>
      </c>
      <c r="B911">
        <v>141351.89499999999</v>
      </c>
      <c r="C911">
        <v>98.538103219999996</v>
      </c>
      <c r="D911" s="2">
        <v>6.8</v>
      </c>
      <c r="E911" s="2">
        <v>14.1</v>
      </c>
      <c r="F911" s="2">
        <v>5.4</v>
      </c>
      <c r="G911" s="2">
        <v>0</v>
      </c>
      <c r="H911" s="2" t="str">
        <f>VLOOKUP(A911,Holidays!$A$2:$B$2107,2,1)</f>
        <v>Y</v>
      </c>
      <c r="I911" s="2" t="str">
        <f>VLOOKUP(A911,Holidays!$A$2:$C$2107,3,1)</f>
        <v>N</v>
      </c>
    </row>
    <row r="912" spans="1:9" x14ac:dyDescent="0.45">
      <c r="A912" s="1">
        <v>42915</v>
      </c>
      <c r="B912">
        <v>138124.06</v>
      </c>
      <c r="C912">
        <v>102.52503950000001</v>
      </c>
      <c r="D912" s="2">
        <v>9.1999999999999993</v>
      </c>
      <c r="E912" s="2">
        <v>13.7</v>
      </c>
      <c r="F912" s="2">
        <v>5</v>
      </c>
      <c r="G912" s="2">
        <v>0</v>
      </c>
      <c r="H912" s="2" t="str">
        <f>VLOOKUP(A912,Holidays!$A$2:$B$2107,2,1)</f>
        <v>Y</v>
      </c>
      <c r="I912" s="2" t="str">
        <f>VLOOKUP(A912,Holidays!$A$2:$C$2107,3,1)</f>
        <v>N</v>
      </c>
    </row>
    <row r="913" spans="1:9" x14ac:dyDescent="0.45">
      <c r="A913" s="1">
        <v>42916</v>
      </c>
      <c r="B913">
        <v>139275.77499999999</v>
      </c>
      <c r="C913">
        <v>124.6840444</v>
      </c>
      <c r="D913" s="2">
        <v>7.1</v>
      </c>
      <c r="E913" s="2">
        <v>12.3</v>
      </c>
      <c r="F913" s="2">
        <v>8.4</v>
      </c>
      <c r="G913" s="2">
        <v>4.4000000000000004</v>
      </c>
      <c r="H913" s="2" t="str">
        <f>VLOOKUP(A913,Holidays!$A$2:$B$2107,2,1)</f>
        <v>N</v>
      </c>
      <c r="I913" s="2" t="str">
        <f>VLOOKUP(A913,Holidays!$A$2:$C$2107,3,1)</f>
        <v>N</v>
      </c>
    </row>
    <row r="914" spans="1:9" x14ac:dyDescent="0.45">
      <c r="A914" s="1">
        <v>42917</v>
      </c>
      <c r="B914">
        <v>125949.5</v>
      </c>
      <c r="C914">
        <v>114.7570772</v>
      </c>
      <c r="D914" s="2">
        <v>1.1000000000000001</v>
      </c>
      <c r="E914" s="2">
        <v>12.7</v>
      </c>
      <c r="F914" s="2">
        <v>9.3000000000000007</v>
      </c>
      <c r="G914" s="2">
        <v>0</v>
      </c>
      <c r="H914" s="2" t="str">
        <f>VLOOKUP(A914,Holidays!$A$2:$B$2107,2,1)</f>
        <v>N</v>
      </c>
      <c r="I914" s="2" t="str">
        <f>VLOOKUP(A914,Holidays!$A$2:$C$2107,3,1)</f>
        <v>N</v>
      </c>
    </row>
    <row r="915" spans="1:9" x14ac:dyDescent="0.45">
      <c r="A915" s="1">
        <v>42918</v>
      </c>
      <c r="B915">
        <v>120137.45</v>
      </c>
      <c r="C915">
        <v>110.1092823</v>
      </c>
      <c r="D915" s="2">
        <v>0.8</v>
      </c>
      <c r="E915" s="2">
        <v>14.3</v>
      </c>
      <c r="F915" s="2">
        <v>9.1999999999999993</v>
      </c>
      <c r="G915" s="2">
        <v>0</v>
      </c>
      <c r="H915" s="2" t="str">
        <f>VLOOKUP(A915,Holidays!$A$2:$B$2107,2,1)</f>
        <v>N</v>
      </c>
      <c r="I915" s="2" t="str">
        <f>VLOOKUP(A915,Holidays!$A$2:$C$2107,3,1)</f>
        <v>N</v>
      </c>
    </row>
    <row r="916" spans="1:9" x14ac:dyDescent="0.45">
      <c r="A916" s="1">
        <v>42919</v>
      </c>
      <c r="B916">
        <v>139765.32</v>
      </c>
      <c r="C916">
        <v>150.61276599999999</v>
      </c>
      <c r="D916" s="2">
        <v>3.8</v>
      </c>
      <c r="E916" s="2">
        <v>13.9</v>
      </c>
      <c r="F916" s="2">
        <v>3.9</v>
      </c>
      <c r="G916" s="2">
        <v>0</v>
      </c>
      <c r="H916" s="2" t="str">
        <f>VLOOKUP(A916,Holidays!$A$2:$B$2107,2,1)</f>
        <v>N</v>
      </c>
      <c r="I916" s="2" t="str">
        <f>VLOOKUP(A916,Holidays!$A$2:$C$2107,3,1)</f>
        <v>N</v>
      </c>
    </row>
    <row r="917" spans="1:9" x14ac:dyDescent="0.45">
      <c r="A917" s="1">
        <v>42920</v>
      </c>
      <c r="B917">
        <v>134029.80499999999</v>
      </c>
      <c r="C917">
        <v>132.54551810000001</v>
      </c>
      <c r="D917" s="2">
        <v>9</v>
      </c>
      <c r="E917" s="2">
        <v>16.2</v>
      </c>
      <c r="F917" s="2">
        <v>6.4</v>
      </c>
      <c r="G917" s="2">
        <v>3</v>
      </c>
      <c r="H917" s="2" t="str">
        <f>VLOOKUP(A917,Holidays!$A$2:$B$2107,2,1)</f>
        <v>N</v>
      </c>
      <c r="I917" s="2" t="str">
        <f>VLOOKUP(A917,Holidays!$A$2:$C$2107,3,1)</f>
        <v>N</v>
      </c>
    </row>
    <row r="918" spans="1:9" x14ac:dyDescent="0.45">
      <c r="A918" s="1">
        <v>42921</v>
      </c>
      <c r="B918">
        <v>134084.66500000001</v>
      </c>
      <c r="C918">
        <v>146.17612560000001</v>
      </c>
      <c r="D918" s="2">
        <v>10.1</v>
      </c>
      <c r="E918" s="2">
        <v>15.8</v>
      </c>
      <c r="F918" s="2">
        <v>6.5</v>
      </c>
      <c r="G918" s="2">
        <v>0</v>
      </c>
      <c r="H918" s="2" t="str">
        <f>VLOOKUP(A918,Holidays!$A$2:$B$2107,2,1)</f>
        <v>N</v>
      </c>
      <c r="I918" s="2" t="str">
        <f>VLOOKUP(A918,Holidays!$A$2:$C$2107,3,1)</f>
        <v>N</v>
      </c>
    </row>
    <row r="919" spans="1:9" x14ac:dyDescent="0.45">
      <c r="A919" s="1">
        <v>42922</v>
      </c>
      <c r="B919">
        <v>137899.715</v>
      </c>
      <c r="C919">
        <v>141.67937280000001</v>
      </c>
      <c r="D919" s="2">
        <v>4.8</v>
      </c>
      <c r="E919" s="2">
        <v>15</v>
      </c>
      <c r="F919" s="2">
        <v>8.6999999999999993</v>
      </c>
      <c r="G919" s="2">
        <v>0</v>
      </c>
      <c r="H919" s="2" t="str">
        <f>VLOOKUP(A919,Holidays!$A$2:$B$2107,2,1)</f>
        <v>N</v>
      </c>
      <c r="I919" s="2" t="str">
        <f>VLOOKUP(A919,Holidays!$A$2:$C$2107,3,1)</f>
        <v>N</v>
      </c>
    </row>
    <row r="920" spans="1:9" x14ac:dyDescent="0.45">
      <c r="A920" s="1">
        <v>42923</v>
      </c>
      <c r="B920">
        <v>134078.07</v>
      </c>
      <c r="C920">
        <v>131.26538149999999</v>
      </c>
      <c r="D920" s="2">
        <v>8</v>
      </c>
      <c r="E920" s="2">
        <v>14.2</v>
      </c>
      <c r="F920" s="2">
        <v>9.4</v>
      </c>
      <c r="G920" s="2">
        <v>0</v>
      </c>
      <c r="H920" s="2" t="str">
        <f>VLOOKUP(A920,Holidays!$A$2:$B$2107,2,1)</f>
        <v>N</v>
      </c>
      <c r="I920" s="2" t="str">
        <f>VLOOKUP(A920,Holidays!$A$2:$C$2107,3,1)</f>
        <v>N</v>
      </c>
    </row>
    <row r="921" spans="1:9" x14ac:dyDescent="0.45">
      <c r="A921" s="1">
        <v>42924</v>
      </c>
      <c r="B921">
        <v>123687.97</v>
      </c>
      <c r="C921">
        <v>129.135411</v>
      </c>
      <c r="D921" s="2">
        <v>5.3</v>
      </c>
      <c r="E921" s="2">
        <v>13.5</v>
      </c>
      <c r="F921" s="2">
        <v>5.0999999999999996</v>
      </c>
      <c r="G921" s="2">
        <v>0</v>
      </c>
      <c r="H921" s="2" t="str">
        <f>VLOOKUP(A921,Holidays!$A$2:$B$2107,2,1)</f>
        <v>N</v>
      </c>
      <c r="I921" s="2" t="str">
        <f>VLOOKUP(A921,Holidays!$A$2:$C$2107,3,1)</f>
        <v>N</v>
      </c>
    </row>
    <row r="922" spans="1:9" x14ac:dyDescent="0.45">
      <c r="A922" s="1">
        <v>42925</v>
      </c>
      <c r="B922">
        <v>116064.03</v>
      </c>
      <c r="C922">
        <v>115.1296024</v>
      </c>
      <c r="D922" s="2">
        <v>7.3</v>
      </c>
      <c r="E922" s="2">
        <v>14.6</v>
      </c>
      <c r="F922" s="2">
        <v>7.3</v>
      </c>
      <c r="G922" s="2">
        <v>0.8</v>
      </c>
      <c r="H922" s="2" t="str">
        <f>VLOOKUP(A922,Holidays!$A$2:$B$2107,2,1)</f>
        <v>N</v>
      </c>
      <c r="I922" s="2" t="str">
        <f>VLOOKUP(A922,Holidays!$A$2:$C$2107,3,1)</f>
        <v>N</v>
      </c>
    </row>
    <row r="923" spans="1:9" x14ac:dyDescent="0.45">
      <c r="A923" s="1">
        <v>42926</v>
      </c>
      <c r="B923">
        <v>133132.32500000001</v>
      </c>
      <c r="C923">
        <v>123.9739271</v>
      </c>
      <c r="D923" s="2">
        <v>7</v>
      </c>
      <c r="E923" s="2">
        <v>16</v>
      </c>
      <c r="F923" s="2">
        <v>5.7</v>
      </c>
      <c r="G923" s="2">
        <v>0</v>
      </c>
      <c r="H923" s="2" t="str">
        <f>VLOOKUP(A923,Holidays!$A$2:$B$2107,2,1)</f>
        <v>N</v>
      </c>
      <c r="I923" s="2" t="str">
        <f>VLOOKUP(A923,Holidays!$A$2:$C$2107,3,1)</f>
        <v>N</v>
      </c>
    </row>
    <row r="924" spans="1:9" x14ac:dyDescent="0.45">
      <c r="A924" s="1">
        <v>42927</v>
      </c>
      <c r="B924">
        <v>137352.78</v>
      </c>
      <c r="C924">
        <v>148.67949519999999</v>
      </c>
      <c r="D924" s="2">
        <v>6.9</v>
      </c>
      <c r="E924" s="2">
        <v>14.3</v>
      </c>
      <c r="F924" s="2">
        <v>9.6999999999999993</v>
      </c>
      <c r="G924" s="2">
        <v>0.4</v>
      </c>
      <c r="H924" s="2" t="str">
        <f>VLOOKUP(A924,Holidays!$A$2:$B$2107,2,1)</f>
        <v>N</v>
      </c>
      <c r="I924" s="2" t="str">
        <f>VLOOKUP(A924,Holidays!$A$2:$C$2107,3,1)</f>
        <v>N</v>
      </c>
    </row>
    <row r="925" spans="1:9" x14ac:dyDescent="0.45">
      <c r="A925" s="1">
        <v>42928</v>
      </c>
      <c r="B925">
        <v>138152.10500000001</v>
      </c>
      <c r="C925">
        <v>117.9532423</v>
      </c>
      <c r="D925" s="2">
        <v>3.2</v>
      </c>
      <c r="E925" s="2">
        <v>15.1</v>
      </c>
      <c r="F925" s="2">
        <v>9.8000000000000007</v>
      </c>
      <c r="G925" s="2">
        <v>0</v>
      </c>
      <c r="H925" s="2" t="str">
        <f>VLOOKUP(A925,Holidays!$A$2:$B$2107,2,1)</f>
        <v>N</v>
      </c>
      <c r="I925" s="2" t="str">
        <f>VLOOKUP(A925,Holidays!$A$2:$C$2107,3,1)</f>
        <v>N</v>
      </c>
    </row>
    <row r="926" spans="1:9" x14ac:dyDescent="0.45">
      <c r="A926" s="1">
        <v>42929</v>
      </c>
      <c r="B926">
        <v>134622.39000000001</v>
      </c>
      <c r="C926">
        <v>106.14876340000001</v>
      </c>
      <c r="D926" s="2">
        <v>4.8</v>
      </c>
      <c r="E926" s="2">
        <v>13.3</v>
      </c>
      <c r="F926" s="2">
        <v>5.5</v>
      </c>
      <c r="G926" s="2">
        <v>0</v>
      </c>
      <c r="H926" s="2" t="str">
        <f>VLOOKUP(A926,Holidays!$A$2:$B$2107,2,1)</f>
        <v>N</v>
      </c>
      <c r="I926" s="2" t="str">
        <f>VLOOKUP(A926,Holidays!$A$2:$C$2107,3,1)</f>
        <v>N</v>
      </c>
    </row>
    <row r="927" spans="1:9" x14ac:dyDescent="0.45">
      <c r="A927" s="1">
        <v>42930</v>
      </c>
      <c r="B927">
        <v>131387.745</v>
      </c>
      <c r="C927">
        <v>111.39498260000001</v>
      </c>
      <c r="D927" s="2">
        <v>9.9</v>
      </c>
      <c r="E927" s="2">
        <v>15.9</v>
      </c>
      <c r="F927" s="2">
        <v>8.6</v>
      </c>
      <c r="G927" s="2">
        <v>2</v>
      </c>
      <c r="H927" s="2" t="str">
        <f>VLOOKUP(A927,Holidays!$A$2:$B$2107,2,1)</f>
        <v>N</v>
      </c>
      <c r="I927" s="2" t="str">
        <f>VLOOKUP(A927,Holidays!$A$2:$C$2107,3,1)</f>
        <v>N</v>
      </c>
    </row>
    <row r="928" spans="1:9" x14ac:dyDescent="0.45">
      <c r="A928" s="1">
        <v>42931</v>
      </c>
      <c r="B928">
        <v>124486.69500000001</v>
      </c>
      <c r="C928">
        <v>136.10655170000001</v>
      </c>
      <c r="D928" s="2">
        <v>4.5</v>
      </c>
      <c r="E928" s="2">
        <v>12</v>
      </c>
      <c r="F928" s="2">
        <v>9.4</v>
      </c>
      <c r="G928" s="2">
        <v>0</v>
      </c>
      <c r="H928" s="2" t="str">
        <f>VLOOKUP(A928,Holidays!$A$2:$B$2107,2,1)</f>
        <v>N</v>
      </c>
      <c r="I928" s="2" t="str">
        <f>VLOOKUP(A928,Holidays!$A$2:$C$2107,3,1)</f>
        <v>N</v>
      </c>
    </row>
    <row r="929" spans="1:9" x14ac:dyDescent="0.45">
      <c r="A929" s="1">
        <v>42932</v>
      </c>
      <c r="B929">
        <v>119927.64</v>
      </c>
      <c r="C929">
        <v>102.14913730000001</v>
      </c>
      <c r="D929" s="2">
        <v>3</v>
      </c>
      <c r="E929" s="2">
        <v>12.5</v>
      </c>
      <c r="F929" s="2">
        <v>7.8</v>
      </c>
      <c r="G929" s="2">
        <v>0</v>
      </c>
      <c r="H929" s="2" t="str">
        <f>VLOOKUP(A929,Holidays!$A$2:$B$2107,2,1)</f>
        <v>N</v>
      </c>
      <c r="I929" s="2" t="str">
        <f>VLOOKUP(A929,Holidays!$A$2:$C$2107,3,1)</f>
        <v>N</v>
      </c>
    </row>
    <row r="930" spans="1:9" x14ac:dyDescent="0.45">
      <c r="A930" s="1">
        <v>42933</v>
      </c>
      <c r="B930">
        <v>131868.24</v>
      </c>
      <c r="C930">
        <v>99.851637530000005</v>
      </c>
      <c r="D930" s="2">
        <v>5.7</v>
      </c>
      <c r="E930" s="2">
        <v>15.3</v>
      </c>
      <c r="F930" s="2">
        <v>6.3</v>
      </c>
      <c r="G930" s="2">
        <v>0</v>
      </c>
      <c r="H930" s="2" t="str">
        <f>VLOOKUP(A930,Holidays!$A$2:$B$2107,2,1)</f>
        <v>N</v>
      </c>
      <c r="I930" s="2" t="str">
        <f>VLOOKUP(A930,Holidays!$A$2:$C$2107,3,1)</f>
        <v>N</v>
      </c>
    </row>
    <row r="931" spans="1:9" x14ac:dyDescent="0.45">
      <c r="A931" s="1">
        <v>42934</v>
      </c>
      <c r="B931">
        <v>136121.83499999999</v>
      </c>
      <c r="C931">
        <v>109.9969729</v>
      </c>
      <c r="D931" s="2">
        <v>9.6999999999999993</v>
      </c>
      <c r="E931" s="2">
        <v>14.5</v>
      </c>
      <c r="F931" s="2">
        <v>5.8</v>
      </c>
      <c r="G931" s="2">
        <v>0.2</v>
      </c>
      <c r="H931" s="2" t="str">
        <f>VLOOKUP(A931,Holidays!$A$2:$B$2107,2,1)</f>
        <v>Y</v>
      </c>
      <c r="I931" s="2" t="str">
        <f>VLOOKUP(A931,Holidays!$A$2:$C$2107,3,1)</f>
        <v>N</v>
      </c>
    </row>
    <row r="932" spans="1:9" x14ac:dyDescent="0.45">
      <c r="A932" s="1">
        <v>42935</v>
      </c>
      <c r="B932">
        <v>133906.26</v>
      </c>
      <c r="C932">
        <v>109.5605504</v>
      </c>
      <c r="D932" s="2">
        <v>8.9</v>
      </c>
      <c r="E932" s="2">
        <v>13.2</v>
      </c>
      <c r="F932" s="2">
        <v>7.7</v>
      </c>
      <c r="G932" s="2">
        <v>5</v>
      </c>
      <c r="H932" s="2" t="str">
        <f>VLOOKUP(A932,Holidays!$A$2:$B$2107,2,1)</f>
        <v>Y</v>
      </c>
      <c r="I932" s="2" t="str">
        <f>VLOOKUP(A932,Holidays!$A$2:$C$2107,3,1)</f>
        <v>N</v>
      </c>
    </row>
    <row r="933" spans="1:9" x14ac:dyDescent="0.45">
      <c r="A933" s="1">
        <v>42936</v>
      </c>
      <c r="B933">
        <v>139316.29</v>
      </c>
      <c r="C933">
        <v>133.736501</v>
      </c>
      <c r="D933" s="2">
        <v>7.9</v>
      </c>
      <c r="E933" s="2">
        <v>10.7</v>
      </c>
      <c r="F933" s="2">
        <v>5.9</v>
      </c>
      <c r="G933" s="2">
        <v>0.6</v>
      </c>
      <c r="H933" s="2" t="str">
        <f>VLOOKUP(A933,Holidays!$A$2:$B$2107,2,1)</f>
        <v>Y</v>
      </c>
      <c r="I933" s="2" t="str">
        <f>VLOOKUP(A933,Holidays!$A$2:$C$2107,3,1)</f>
        <v>N</v>
      </c>
    </row>
    <row r="934" spans="1:9" x14ac:dyDescent="0.45">
      <c r="A934" s="1">
        <v>42937</v>
      </c>
      <c r="B934">
        <v>140073.89499999999</v>
      </c>
      <c r="C934">
        <v>130.19271090000001</v>
      </c>
      <c r="D934" s="2">
        <v>3.3</v>
      </c>
      <c r="E934" s="2">
        <v>13.8</v>
      </c>
      <c r="F934" s="2">
        <v>10.3</v>
      </c>
      <c r="G934" s="2">
        <v>4.2</v>
      </c>
      <c r="H934" s="2" t="str">
        <f>VLOOKUP(A934,Holidays!$A$2:$B$2107,2,1)</f>
        <v>Y</v>
      </c>
      <c r="I934" s="2" t="str">
        <f>VLOOKUP(A934,Holidays!$A$2:$C$2107,3,1)</f>
        <v>N</v>
      </c>
    </row>
    <row r="935" spans="1:9" x14ac:dyDescent="0.45">
      <c r="A935" s="1">
        <v>42938</v>
      </c>
      <c r="B935">
        <v>122397.13</v>
      </c>
      <c r="C935">
        <v>91.656080619999997</v>
      </c>
      <c r="D935" s="2">
        <v>5.4</v>
      </c>
      <c r="E935" s="2">
        <v>12.4</v>
      </c>
      <c r="F935" s="2">
        <v>7</v>
      </c>
      <c r="G935" s="2">
        <v>0</v>
      </c>
      <c r="H935" s="2" t="str">
        <f>VLOOKUP(A935,Holidays!$A$2:$B$2107,2,1)</f>
        <v>Y</v>
      </c>
      <c r="I935" s="2" t="str">
        <f>VLOOKUP(A935,Holidays!$A$2:$C$2107,3,1)</f>
        <v>N</v>
      </c>
    </row>
    <row r="936" spans="1:9" x14ac:dyDescent="0.45">
      <c r="A936" s="1">
        <v>42939</v>
      </c>
      <c r="B936">
        <v>118007.66499999999</v>
      </c>
      <c r="C936">
        <v>107.89233230000001</v>
      </c>
      <c r="D936" s="2">
        <v>8.4</v>
      </c>
      <c r="E936" s="2">
        <v>14.1</v>
      </c>
      <c r="F936" s="2">
        <v>5.4</v>
      </c>
      <c r="G936" s="2">
        <v>0</v>
      </c>
      <c r="H936" s="2" t="str">
        <f>VLOOKUP(A936,Holidays!$A$2:$B$2107,2,1)</f>
        <v>Y</v>
      </c>
      <c r="I936" s="2" t="str">
        <f>VLOOKUP(A936,Holidays!$A$2:$C$2107,3,1)</f>
        <v>N</v>
      </c>
    </row>
    <row r="937" spans="1:9" x14ac:dyDescent="0.45">
      <c r="A937" s="1">
        <v>42940</v>
      </c>
      <c r="B937">
        <v>136330.59</v>
      </c>
      <c r="C937">
        <v>122.6544774</v>
      </c>
      <c r="D937" s="2">
        <v>8.1</v>
      </c>
      <c r="E937" s="2">
        <v>16.100000000000001</v>
      </c>
      <c r="F937" s="2">
        <v>8.3000000000000007</v>
      </c>
      <c r="G937" s="2">
        <v>7</v>
      </c>
      <c r="H937" s="2" t="str">
        <f>VLOOKUP(A937,Holidays!$A$2:$B$2107,2,1)</f>
        <v>Y</v>
      </c>
      <c r="I937" s="2" t="str">
        <f>VLOOKUP(A937,Holidays!$A$2:$C$2107,3,1)</f>
        <v>N</v>
      </c>
    </row>
    <row r="938" spans="1:9" x14ac:dyDescent="0.45">
      <c r="A938" s="1">
        <v>42941</v>
      </c>
      <c r="B938">
        <v>129699.265</v>
      </c>
      <c r="C938">
        <v>113.0336114</v>
      </c>
      <c r="D938" s="2">
        <v>9.8000000000000007</v>
      </c>
      <c r="E938" s="2">
        <v>17.2</v>
      </c>
      <c r="F938" s="2">
        <v>9</v>
      </c>
      <c r="G938" s="2">
        <v>0</v>
      </c>
      <c r="H938" s="2" t="str">
        <f>VLOOKUP(A938,Holidays!$A$2:$B$2107,2,1)</f>
        <v>Y</v>
      </c>
      <c r="I938" s="2" t="str">
        <f>VLOOKUP(A938,Holidays!$A$2:$C$2107,3,1)</f>
        <v>N</v>
      </c>
    </row>
    <row r="939" spans="1:9" x14ac:dyDescent="0.45">
      <c r="A939" s="1">
        <v>42942</v>
      </c>
      <c r="B939">
        <v>133198.34</v>
      </c>
      <c r="C939">
        <v>117.2808433</v>
      </c>
      <c r="D939" s="2">
        <v>10.9</v>
      </c>
      <c r="E939" s="2">
        <v>15</v>
      </c>
      <c r="F939" s="2">
        <v>8.6999999999999993</v>
      </c>
      <c r="G939" s="2">
        <v>2.4</v>
      </c>
      <c r="H939" s="2" t="str">
        <f>VLOOKUP(A939,Holidays!$A$2:$B$2107,2,1)</f>
        <v>Y</v>
      </c>
      <c r="I939" s="2" t="str">
        <f>VLOOKUP(A939,Holidays!$A$2:$C$2107,3,1)</f>
        <v>N</v>
      </c>
    </row>
    <row r="940" spans="1:9" x14ac:dyDescent="0.45">
      <c r="A940" s="1">
        <v>42943</v>
      </c>
      <c r="B940">
        <v>136003.91500000001</v>
      </c>
      <c r="C940">
        <v>117.31547380000001</v>
      </c>
      <c r="D940" s="2">
        <v>4.4000000000000004</v>
      </c>
      <c r="E940" s="2">
        <v>14.2</v>
      </c>
      <c r="F940" s="2">
        <v>8.6999999999999993</v>
      </c>
      <c r="G940" s="2">
        <v>2</v>
      </c>
      <c r="H940" s="2" t="str">
        <f>VLOOKUP(A940,Holidays!$A$2:$B$2107,2,1)</f>
        <v>Y</v>
      </c>
      <c r="I940" s="2" t="str">
        <f>VLOOKUP(A940,Holidays!$A$2:$C$2107,3,1)</f>
        <v>N</v>
      </c>
    </row>
    <row r="941" spans="1:9" x14ac:dyDescent="0.45">
      <c r="A941" s="1">
        <v>42944</v>
      </c>
      <c r="B941">
        <v>130432.05</v>
      </c>
      <c r="C941">
        <v>111.3069682</v>
      </c>
      <c r="D941" s="2">
        <v>6.2</v>
      </c>
      <c r="E941" s="2">
        <v>14.3</v>
      </c>
      <c r="F941" s="2">
        <v>9.8000000000000007</v>
      </c>
      <c r="G941" s="2">
        <v>2.8</v>
      </c>
      <c r="H941" s="2" t="str">
        <f>VLOOKUP(A941,Holidays!$A$2:$B$2107,2,1)</f>
        <v>Y</v>
      </c>
      <c r="I941" s="2" t="str">
        <f>VLOOKUP(A941,Holidays!$A$2:$C$2107,3,1)</f>
        <v>N</v>
      </c>
    </row>
    <row r="942" spans="1:9" x14ac:dyDescent="0.45">
      <c r="A942" s="1">
        <v>42945</v>
      </c>
      <c r="B942">
        <v>111331.235</v>
      </c>
      <c r="C942">
        <v>93.453100860000006</v>
      </c>
      <c r="D942" s="2">
        <v>9.6999999999999993</v>
      </c>
      <c r="E942" s="2">
        <v>17.899999999999999</v>
      </c>
      <c r="F942" s="2">
        <v>10.1</v>
      </c>
      <c r="G942" s="2">
        <v>0</v>
      </c>
      <c r="H942" s="2" t="str">
        <f>VLOOKUP(A942,Holidays!$A$2:$B$2107,2,1)</f>
        <v>Y</v>
      </c>
      <c r="I942" s="2" t="str">
        <f>VLOOKUP(A942,Holidays!$A$2:$C$2107,3,1)</f>
        <v>N</v>
      </c>
    </row>
    <row r="943" spans="1:9" x14ac:dyDescent="0.45">
      <c r="A943" s="1">
        <v>42946</v>
      </c>
      <c r="B943">
        <v>107580.495</v>
      </c>
      <c r="C943">
        <v>91.416166270000005</v>
      </c>
      <c r="D943" s="2">
        <v>11.3</v>
      </c>
      <c r="E943" s="2">
        <v>18.100000000000001</v>
      </c>
      <c r="F943" s="2">
        <v>8.3000000000000007</v>
      </c>
      <c r="G943" s="2">
        <v>0</v>
      </c>
      <c r="H943" s="2" t="str">
        <f>VLOOKUP(A943,Holidays!$A$2:$B$2107,2,1)</f>
        <v>Y</v>
      </c>
      <c r="I943" s="2" t="str">
        <f>VLOOKUP(A943,Holidays!$A$2:$C$2107,3,1)</f>
        <v>N</v>
      </c>
    </row>
    <row r="944" spans="1:9" x14ac:dyDescent="0.45">
      <c r="A944" s="1">
        <v>42947</v>
      </c>
      <c r="B944">
        <v>132276.88</v>
      </c>
      <c r="C944">
        <v>137.47669010000001</v>
      </c>
      <c r="D944" s="2">
        <v>6.7</v>
      </c>
      <c r="E944" s="2">
        <v>14.8</v>
      </c>
      <c r="F944" s="2">
        <v>11.5</v>
      </c>
      <c r="G944" s="2">
        <v>0</v>
      </c>
      <c r="H944" s="2" t="str">
        <f>VLOOKUP(A944,Holidays!$A$2:$B$2107,2,1)</f>
        <v>Y</v>
      </c>
      <c r="I944" s="2" t="str">
        <f>VLOOKUP(A944,Holidays!$A$2:$C$2107,3,1)</f>
        <v>N</v>
      </c>
    </row>
    <row r="945" spans="1:9" x14ac:dyDescent="0.45">
      <c r="A945" s="1">
        <v>42948</v>
      </c>
      <c r="B945">
        <v>137617.88</v>
      </c>
      <c r="C945">
        <v>137.9754246</v>
      </c>
      <c r="D945" s="2">
        <v>3.5</v>
      </c>
      <c r="E945" s="2">
        <v>15.5</v>
      </c>
      <c r="F945" s="2">
        <v>11.5</v>
      </c>
      <c r="G945" s="2">
        <v>0</v>
      </c>
      <c r="H945" s="2" t="str">
        <f>VLOOKUP(A945,Holidays!$A$2:$B$2107,2,1)</f>
        <v>Y</v>
      </c>
      <c r="I945" s="2" t="str">
        <f>VLOOKUP(A945,Holidays!$A$2:$C$2107,3,1)</f>
        <v>N</v>
      </c>
    </row>
    <row r="946" spans="1:9" x14ac:dyDescent="0.45">
      <c r="A946" s="1">
        <v>42949</v>
      </c>
      <c r="B946">
        <v>140729.185</v>
      </c>
      <c r="C946">
        <v>113.4923335</v>
      </c>
      <c r="D946" s="2">
        <v>3.4</v>
      </c>
      <c r="E946" s="2">
        <v>12.9</v>
      </c>
      <c r="F946" s="2">
        <v>7.5</v>
      </c>
      <c r="G946" s="2">
        <v>0</v>
      </c>
      <c r="H946" s="2" t="str">
        <f>VLOOKUP(A946,Holidays!$A$2:$B$2107,2,1)</f>
        <v>Y</v>
      </c>
      <c r="I946" s="2" t="str">
        <f>VLOOKUP(A946,Holidays!$A$2:$C$2107,3,1)</f>
        <v>N</v>
      </c>
    </row>
    <row r="947" spans="1:9" x14ac:dyDescent="0.45">
      <c r="A947" s="1">
        <v>42950</v>
      </c>
      <c r="B947">
        <v>151355.43</v>
      </c>
      <c r="C947">
        <v>169.23382710000001</v>
      </c>
      <c r="D947" s="2">
        <v>3.1</v>
      </c>
      <c r="E947" s="2">
        <v>9</v>
      </c>
      <c r="F947" s="2">
        <v>4.4000000000000004</v>
      </c>
      <c r="G947" s="2">
        <v>0</v>
      </c>
      <c r="H947" s="2" t="str">
        <f>VLOOKUP(A947,Holidays!$A$2:$B$2107,2,1)</f>
        <v>Y</v>
      </c>
      <c r="I947" s="2" t="str">
        <f>VLOOKUP(A947,Holidays!$A$2:$C$2107,3,1)</f>
        <v>N</v>
      </c>
    </row>
    <row r="948" spans="1:9" x14ac:dyDescent="0.45">
      <c r="A948" s="1">
        <v>42951</v>
      </c>
      <c r="B948">
        <v>141647.89499999999</v>
      </c>
      <c r="C948">
        <v>110.3517269</v>
      </c>
      <c r="D948" s="2">
        <v>4.3</v>
      </c>
      <c r="E948" s="2">
        <v>12.1</v>
      </c>
      <c r="F948" s="2">
        <v>7.2</v>
      </c>
      <c r="G948" s="2">
        <v>6.6</v>
      </c>
      <c r="H948" s="2" t="str">
        <f>VLOOKUP(A948,Holidays!$A$2:$B$2107,2,1)</f>
        <v>Y</v>
      </c>
      <c r="I948" s="2" t="str">
        <f>VLOOKUP(A948,Holidays!$A$2:$C$2107,3,1)</f>
        <v>N</v>
      </c>
    </row>
    <row r="949" spans="1:9" x14ac:dyDescent="0.45">
      <c r="A949" s="1">
        <v>42952</v>
      </c>
      <c r="B949">
        <v>116696.455</v>
      </c>
      <c r="C949">
        <v>82.766673249999997</v>
      </c>
      <c r="D949" s="2">
        <v>8.8000000000000007</v>
      </c>
      <c r="E949" s="2">
        <v>14.2</v>
      </c>
      <c r="F949" s="2">
        <v>11.7</v>
      </c>
      <c r="G949" s="2">
        <v>0</v>
      </c>
      <c r="H949" s="2" t="str">
        <f>VLOOKUP(A949,Holidays!$A$2:$B$2107,2,1)</f>
        <v>Y</v>
      </c>
      <c r="I949" s="2" t="str">
        <f>VLOOKUP(A949,Holidays!$A$2:$C$2107,3,1)</f>
        <v>N</v>
      </c>
    </row>
    <row r="950" spans="1:9" x14ac:dyDescent="0.45">
      <c r="A950" s="1">
        <v>42953</v>
      </c>
      <c r="B950">
        <v>117351.14</v>
      </c>
      <c r="C950">
        <v>86.202202409999998</v>
      </c>
      <c r="D950" s="2">
        <v>9</v>
      </c>
      <c r="E950" s="2">
        <v>13</v>
      </c>
      <c r="F950" s="2">
        <v>8.1999999999999993</v>
      </c>
      <c r="G950" s="2">
        <v>0</v>
      </c>
      <c r="H950" s="2" t="str">
        <f>VLOOKUP(A950,Holidays!$A$2:$B$2107,2,1)</f>
        <v>Y</v>
      </c>
      <c r="I950" s="2" t="str">
        <f>VLOOKUP(A950,Holidays!$A$2:$C$2107,3,1)</f>
        <v>N</v>
      </c>
    </row>
    <row r="951" spans="1:9" x14ac:dyDescent="0.45">
      <c r="A951" s="1">
        <v>42954</v>
      </c>
      <c r="B951">
        <v>138963.17499999999</v>
      </c>
      <c r="C951">
        <v>111.4890145</v>
      </c>
      <c r="D951" s="2">
        <v>7.7</v>
      </c>
      <c r="E951" s="2">
        <v>12.3</v>
      </c>
      <c r="F951" s="2">
        <v>7.3</v>
      </c>
      <c r="G951" s="2">
        <v>4.2</v>
      </c>
      <c r="H951" s="2" t="str">
        <f>VLOOKUP(A951,Holidays!$A$2:$B$2107,2,1)</f>
        <v>Y</v>
      </c>
      <c r="I951" s="2" t="str">
        <f>VLOOKUP(A951,Holidays!$A$2:$C$2107,3,1)</f>
        <v>N</v>
      </c>
    </row>
    <row r="952" spans="1:9" x14ac:dyDescent="0.45">
      <c r="A952" s="1">
        <v>42955</v>
      </c>
      <c r="B952">
        <v>139108.435</v>
      </c>
      <c r="C952">
        <v>111.5513751</v>
      </c>
      <c r="D952" s="2">
        <v>7.9</v>
      </c>
      <c r="E952" s="2">
        <v>15</v>
      </c>
      <c r="F952" s="2">
        <v>7.5</v>
      </c>
      <c r="G952" s="2">
        <v>2.2000000000000002</v>
      </c>
      <c r="H952" s="2" t="str">
        <f>VLOOKUP(A952,Holidays!$A$2:$B$2107,2,1)</f>
        <v>Y</v>
      </c>
      <c r="I952" s="2" t="str">
        <f>VLOOKUP(A952,Holidays!$A$2:$C$2107,3,1)</f>
        <v>N</v>
      </c>
    </row>
    <row r="953" spans="1:9" x14ac:dyDescent="0.45">
      <c r="A953" s="1">
        <v>42956</v>
      </c>
      <c r="B953">
        <v>130044.375</v>
      </c>
      <c r="C953">
        <v>105.283102</v>
      </c>
      <c r="D953" s="2">
        <v>8.9</v>
      </c>
      <c r="E953" s="2">
        <v>16.8</v>
      </c>
      <c r="F953" s="2">
        <v>11.5</v>
      </c>
      <c r="G953" s="2">
        <v>0</v>
      </c>
      <c r="H953" s="2" t="str">
        <f>VLOOKUP(A953,Holidays!$A$2:$B$2107,2,1)</f>
        <v>Y</v>
      </c>
      <c r="I953" s="2" t="str">
        <f>VLOOKUP(A953,Holidays!$A$2:$C$2107,3,1)</f>
        <v>N</v>
      </c>
    </row>
    <row r="954" spans="1:9" x14ac:dyDescent="0.45">
      <c r="A954" s="1">
        <v>42957</v>
      </c>
      <c r="B954">
        <v>122361.925</v>
      </c>
      <c r="C954">
        <v>86.916548329999998</v>
      </c>
      <c r="D954" s="2">
        <v>11.4</v>
      </c>
      <c r="E954" s="2">
        <v>18.8</v>
      </c>
      <c r="F954" s="2">
        <v>8.4</v>
      </c>
      <c r="G954" s="2">
        <v>0</v>
      </c>
      <c r="H954" s="2" t="str">
        <f>VLOOKUP(A954,Holidays!$A$2:$B$2107,2,1)</f>
        <v>Y</v>
      </c>
      <c r="I954" s="2" t="str">
        <f>VLOOKUP(A954,Holidays!$A$2:$C$2107,3,1)</f>
        <v>N</v>
      </c>
    </row>
    <row r="955" spans="1:9" x14ac:dyDescent="0.45">
      <c r="A955" s="1">
        <v>42958</v>
      </c>
      <c r="B955">
        <v>122862.345</v>
      </c>
      <c r="C955">
        <v>78.92563543</v>
      </c>
      <c r="D955" s="2">
        <v>10.3</v>
      </c>
      <c r="E955" s="2">
        <v>16.399999999999999</v>
      </c>
      <c r="F955" s="2">
        <v>9.3000000000000007</v>
      </c>
      <c r="G955" s="2">
        <v>0</v>
      </c>
      <c r="H955" s="2" t="str">
        <f>VLOOKUP(A955,Holidays!$A$2:$B$2107,2,1)</f>
        <v>Y</v>
      </c>
      <c r="I955" s="2" t="str">
        <f>VLOOKUP(A955,Holidays!$A$2:$C$2107,3,1)</f>
        <v>N</v>
      </c>
    </row>
    <row r="956" spans="1:9" x14ac:dyDescent="0.45">
      <c r="A956" s="1">
        <v>42959</v>
      </c>
      <c r="B956">
        <v>113669.45</v>
      </c>
      <c r="C956">
        <v>77.123590930000006</v>
      </c>
      <c r="D956" s="2">
        <v>10.3</v>
      </c>
      <c r="E956" s="2">
        <v>17.899999999999999</v>
      </c>
      <c r="F956" s="2">
        <v>9.9</v>
      </c>
      <c r="G956" s="2">
        <v>2.8</v>
      </c>
      <c r="H956" s="2" t="str">
        <f>VLOOKUP(A956,Holidays!$A$2:$B$2107,2,1)</f>
        <v>Y</v>
      </c>
      <c r="I956" s="2" t="str">
        <f>VLOOKUP(A956,Holidays!$A$2:$C$2107,3,1)</f>
        <v>N</v>
      </c>
    </row>
    <row r="957" spans="1:9" x14ac:dyDescent="0.45">
      <c r="A957" s="1">
        <v>42960</v>
      </c>
      <c r="B957">
        <v>106274.56</v>
      </c>
      <c r="C957">
        <v>68.294171739999996</v>
      </c>
      <c r="D957" s="2">
        <v>9.4</v>
      </c>
      <c r="E957" s="2">
        <v>18.7</v>
      </c>
      <c r="F957" s="2">
        <v>11.1</v>
      </c>
      <c r="G957" s="2">
        <v>2</v>
      </c>
      <c r="H957" s="2" t="str">
        <f>VLOOKUP(A957,Holidays!$A$2:$B$2107,2,1)</f>
        <v>Y</v>
      </c>
      <c r="I957" s="2" t="str">
        <f>VLOOKUP(A957,Holidays!$A$2:$C$2107,3,1)</f>
        <v>N</v>
      </c>
    </row>
    <row r="958" spans="1:9" x14ac:dyDescent="0.45">
      <c r="A958" s="1">
        <v>42961</v>
      </c>
      <c r="B958">
        <v>121533.955</v>
      </c>
      <c r="C958">
        <v>101.399598</v>
      </c>
      <c r="D958" s="2">
        <v>12.3</v>
      </c>
      <c r="E958" s="2">
        <v>20.100000000000001</v>
      </c>
      <c r="F958" s="2">
        <v>12.6</v>
      </c>
      <c r="G958" s="2">
        <v>0</v>
      </c>
      <c r="H958" s="2" t="str">
        <f>VLOOKUP(A958,Holidays!$A$2:$B$2107,2,1)</f>
        <v>Y</v>
      </c>
      <c r="I958" s="2" t="str">
        <f>VLOOKUP(A958,Holidays!$A$2:$C$2107,3,1)</f>
        <v>N</v>
      </c>
    </row>
    <row r="959" spans="1:9" x14ac:dyDescent="0.45">
      <c r="A959" s="1">
        <v>42962</v>
      </c>
      <c r="B959">
        <v>127193.3</v>
      </c>
      <c r="C959">
        <v>99.086174200000002</v>
      </c>
      <c r="D959" s="2">
        <v>10.4</v>
      </c>
      <c r="E959" s="2">
        <v>17.5</v>
      </c>
      <c r="F959" s="2">
        <v>3.2</v>
      </c>
      <c r="G959" s="2">
        <v>0.2</v>
      </c>
      <c r="H959" s="2" t="str">
        <f>VLOOKUP(A959,Holidays!$A$2:$B$2107,2,1)</f>
        <v>Y</v>
      </c>
      <c r="I959" s="2" t="str">
        <f>VLOOKUP(A959,Holidays!$A$2:$C$2107,3,1)</f>
        <v>N</v>
      </c>
    </row>
    <row r="960" spans="1:9" x14ac:dyDescent="0.45">
      <c r="A960" s="1">
        <v>42963</v>
      </c>
      <c r="B960">
        <v>121445.38</v>
      </c>
      <c r="C960">
        <v>72.164817319999997</v>
      </c>
      <c r="D960" s="2">
        <v>12.1</v>
      </c>
      <c r="E960" s="2">
        <v>18.100000000000001</v>
      </c>
      <c r="F960" s="2">
        <v>10.9</v>
      </c>
      <c r="G960" s="2">
        <v>0.8</v>
      </c>
      <c r="H960" s="2" t="str">
        <f>VLOOKUP(A960,Holidays!$A$2:$B$2107,2,1)</f>
        <v>Y</v>
      </c>
      <c r="I960" s="2" t="str">
        <f>VLOOKUP(A960,Holidays!$A$2:$C$2107,3,1)</f>
        <v>N</v>
      </c>
    </row>
    <row r="961" spans="1:9" x14ac:dyDescent="0.45">
      <c r="A961" s="1">
        <v>42964</v>
      </c>
      <c r="B961">
        <v>129223.80499999999</v>
      </c>
      <c r="C961">
        <v>73.714560050000003</v>
      </c>
      <c r="D961" s="2">
        <v>9.3000000000000007</v>
      </c>
      <c r="E961" s="2">
        <v>15.6</v>
      </c>
      <c r="F961" s="2">
        <v>9.1</v>
      </c>
      <c r="G961" s="2">
        <v>1.8</v>
      </c>
      <c r="H961" s="2" t="str">
        <f>VLOOKUP(A961,Holidays!$A$2:$B$2107,2,1)</f>
        <v>Y</v>
      </c>
      <c r="I961" s="2" t="str">
        <f>VLOOKUP(A961,Holidays!$A$2:$C$2107,3,1)</f>
        <v>N</v>
      </c>
    </row>
    <row r="962" spans="1:9" x14ac:dyDescent="0.45">
      <c r="A962" s="1">
        <v>42965</v>
      </c>
      <c r="B962">
        <v>133562.98499999999</v>
      </c>
      <c r="C962">
        <v>92.107544930000003</v>
      </c>
      <c r="D962" s="2">
        <v>8</v>
      </c>
      <c r="E962" s="2">
        <v>12.2</v>
      </c>
      <c r="F962" s="2">
        <v>9.4</v>
      </c>
      <c r="G962" s="2">
        <v>2.8</v>
      </c>
      <c r="H962" s="2" t="str">
        <f>VLOOKUP(A962,Holidays!$A$2:$B$2107,2,1)</f>
        <v>Y</v>
      </c>
      <c r="I962" s="2" t="str">
        <f>VLOOKUP(A962,Holidays!$A$2:$C$2107,3,1)</f>
        <v>N</v>
      </c>
    </row>
    <row r="963" spans="1:9" x14ac:dyDescent="0.45">
      <c r="A963" s="1">
        <v>42966</v>
      </c>
      <c r="B963">
        <v>124852.67</v>
      </c>
      <c r="C963">
        <v>97.968935160000001</v>
      </c>
      <c r="D963" s="2">
        <v>5.9</v>
      </c>
      <c r="E963" s="2">
        <v>11.8</v>
      </c>
      <c r="F963" s="2">
        <v>11.6</v>
      </c>
      <c r="G963" s="2">
        <v>7.2</v>
      </c>
      <c r="H963" s="2" t="str">
        <f>VLOOKUP(A963,Holidays!$A$2:$B$2107,2,1)</f>
        <v>Y</v>
      </c>
      <c r="I963" s="2" t="str">
        <f>VLOOKUP(A963,Holidays!$A$2:$C$2107,3,1)</f>
        <v>N</v>
      </c>
    </row>
    <row r="964" spans="1:9" x14ac:dyDescent="0.45">
      <c r="A964" s="1">
        <v>42967</v>
      </c>
      <c r="B964">
        <v>119798.995</v>
      </c>
      <c r="C964">
        <v>92.815878290000001</v>
      </c>
      <c r="D964" s="2">
        <v>5.0999999999999996</v>
      </c>
      <c r="E964" s="2">
        <v>13.3</v>
      </c>
      <c r="F964" s="2">
        <v>13.9</v>
      </c>
      <c r="G964" s="2">
        <v>2</v>
      </c>
      <c r="H964" s="2" t="str">
        <f>VLOOKUP(A964,Holidays!$A$2:$B$2107,2,1)</f>
        <v>Y</v>
      </c>
      <c r="I964" s="2" t="str">
        <f>VLOOKUP(A964,Holidays!$A$2:$C$2107,3,1)</f>
        <v>N</v>
      </c>
    </row>
    <row r="965" spans="1:9" x14ac:dyDescent="0.45">
      <c r="A965" s="1">
        <v>42968</v>
      </c>
      <c r="B965">
        <v>140410.29500000001</v>
      </c>
      <c r="C965">
        <v>108.906684</v>
      </c>
      <c r="D965" s="2">
        <v>6.8</v>
      </c>
      <c r="E965" s="2">
        <v>12.7</v>
      </c>
      <c r="F965" s="2">
        <v>7.9</v>
      </c>
      <c r="G965" s="2">
        <v>0.6</v>
      </c>
      <c r="H965" s="2" t="str">
        <f>VLOOKUP(A965,Holidays!$A$2:$B$2107,2,1)</f>
        <v>Y</v>
      </c>
      <c r="I965" s="2" t="str">
        <f>VLOOKUP(A965,Holidays!$A$2:$C$2107,3,1)</f>
        <v>N</v>
      </c>
    </row>
    <row r="966" spans="1:9" x14ac:dyDescent="0.45">
      <c r="A966" s="1">
        <v>42969</v>
      </c>
      <c r="B966">
        <v>133809.45499999999</v>
      </c>
      <c r="C966">
        <v>107.9380963</v>
      </c>
      <c r="D966" s="2">
        <v>5.7</v>
      </c>
      <c r="E966" s="2">
        <v>16.8</v>
      </c>
      <c r="F966" s="2">
        <v>11.1</v>
      </c>
      <c r="G966" s="2">
        <v>1.6</v>
      </c>
      <c r="H966" s="2" t="str">
        <f>VLOOKUP(A966,Holidays!$A$2:$B$2107,2,1)</f>
        <v>Y</v>
      </c>
      <c r="I966" s="2" t="str">
        <f>VLOOKUP(A966,Holidays!$A$2:$C$2107,3,1)</f>
        <v>N</v>
      </c>
    </row>
    <row r="967" spans="1:9" x14ac:dyDescent="0.45">
      <c r="A967" s="1">
        <v>42970</v>
      </c>
      <c r="B967">
        <v>133056.82</v>
      </c>
      <c r="C967">
        <v>106.6475104</v>
      </c>
      <c r="D967" s="2">
        <v>8.3000000000000007</v>
      </c>
      <c r="E967" s="2">
        <v>18.100000000000001</v>
      </c>
      <c r="F967" s="2">
        <v>9.6999999999999993</v>
      </c>
      <c r="G967" s="2">
        <v>0</v>
      </c>
      <c r="H967" s="2" t="str">
        <f>VLOOKUP(A967,Holidays!$A$2:$B$2107,2,1)</f>
        <v>Y</v>
      </c>
      <c r="I967" s="2" t="str">
        <f>VLOOKUP(A967,Holidays!$A$2:$C$2107,3,1)</f>
        <v>N</v>
      </c>
    </row>
    <row r="968" spans="1:9" x14ac:dyDescent="0.45">
      <c r="A968" s="1">
        <v>42971</v>
      </c>
      <c r="B968">
        <v>135619.94</v>
      </c>
      <c r="C968">
        <v>118.9186938</v>
      </c>
      <c r="D968" s="2">
        <v>5.2</v>
      </c>
      <c r="E968" s="2">
        <v>13.3</v>
      </c>
      <c r="F968" s="2">
        <v>13</v>
      </c>
      <c r="G968" s="2">
        <v>9.1999999999999993</v>
      </c>
      <c r="H968" s="2" t="str">
        <f>VLOOKUP(A968,Holidays!$A$2:$B$2107,2,1)</f>
        <v>Y</v>
      </c>
      <c r="I968" s="2" t="str">
        <f>VLOOKUP(A968,Holidays!$A$2:$C$2107,3,1)</f>
        <v>N</v>
      </c>
    </row>
    <row r="969" spans="1:9" x14ac:dyDescent="0.45">
      <c r="A969" s="1">
        <v>42972</v>
      </c>
      <c r="B969">
        <v>133666.57500000001</v>
      </c>
      <c r="C969">
        <v>120.1723289</v>
      </c>
      <c r="D969" s="2">
        <v>4.9000000000000004</v>
      </c>
      <c r="E969" s="2">
        <v>15</v>
      </c>
      <c r="F969" s="2">
        <v>13.3</v>
      </c>
      <c r="G969" s="2">
        <v>0.6</v>
      </c>
      <c r="H969" s="2" t="str">
        <f>VLOOKUP(A969,Holidays!$A$2:$B$2107,2,1)</f>
        <v>Y</v>
      </c>
      <c r="I969" s="2" t="str">
        <f>VLOOKUP(A969,Holidays!$A$2:$C$2107,3,1)</f>
        <v>N</v>
      </c>
    </row>
    <row r="970" spans="1:9" x14ac:dyDescent="0.45">
      <c r="A970" s="1">
        <v>42973</v>
      </c>
      <c r="B970">
        <v>117444.1</v>
      </c>
      <c r="C970">
        <v>93.657541890000005</v>
      </c>
      <c r="D970" s="2">
        <v>9.9</v>
      </c>
      <c r="E970" s="2">
        <v>15.3</v>
      </c>
      <c r="F970" s="2">
        <v>8.5</v>
      </c>
      <c r="G970" s="2">
        <v>0</v>
      </c>
      <c r="H970" s="2" t="str">
        <f>VLOOKUP(A970,Holidays!$A$2:$B$2107,2,1)</f>
        <v>Y</v>
      </c>
      <c r="I970" s="2" t="str">
        <f>VLOOKUP(A970,Holidays!$A$2:$C$2107,3,1)</f>
        <v>N</v>
      </c>
    </row>
    <row r="971" spans="1:9" x14ac:dyDescent="0.45">
      <c r="A971" s="1">
        <v>42974</v>
      </c>
      <c r="B971">
        <v>115177.935</v>
      </c>
      <c r="C971">
        <v>93.117477789999995</v>
      </c>
      <c r="D971" s="2">
        <v>5.8</v>
      </c>
      <c r="E971" s="2">
        <v>10.7</v>
      </c>
      <c r="F971" s="2">
        <v>11.8</v>
      </c>
      <c r="G971" s="2">
        <v>7.8</v>
      </c>
      <c r="H971" s="2" t="str">
        <f>VLOOKUP(A971,Holidays!$A$2:$B$2107,2,1)</f>
        <v>Y</v>
      </c>
      <c r="I971" s="2" t="str">
        <f>VLOOKUP(A971,Holidays!$A$2:$C$2107,3,1)</f>
        <v>N</v>
      </c>
    </row>
    <row r="972" spans="1:9" x14ac:dyDescent="0.45">
      <c r="A972" s="1">
        <v>42975</v>
      </c>
      <c r="B972">
        <v>139414.495</v>
      </c>
      <c r="C972">
        <v>163.40926049999999</v>
      </c>
      <c r="D972" s="2">
        <v>5.8</v>
      </c>
      <c r="E972" s="2">
        <v>11.8</v>
      </c>
      <c r="F972" s="2">
        <v>14.6</v>
      </c>
      <c r="G972" s="2">
        <v>0.6</v>
      </c>
      <c r="H972" s="2" t="str">
        <f>VLOOKUP(A972,Holidays!$A$2:$B$2107,2,1)</f>
        <v>Y</v>
      </c>
      <c r="I972" s="2" t="str">
        <f>VLOOKUP(A972,Holidays!$A$2:$C$2107,3,1)</f>
        <v>N</v>
      </c>
    </row>
    <row r="973" spans="1:9" x14ac:dyDescent="0.45">
      <c r="A973" s="1">
        <v>42976</v>
      </c>
      <c r="B973">
        <v>139814.04</v>
      </c>
      <c r="C973">
        <v>143.84804</v>
      </c>
      <c r="D973" s="2">
        <v>5.4</v>
      </c>
      <c r="E973" s="2">
        <v>12.9</v>
      </c>
      <c r="F973" s="2">
        <v>9.1</v>
      </c>
      <c r="G973" s="2">
        <v>0</v>
      </c>
      <c r="H973" s="2" t="str">
        <f>VLOOKUP(A973,Holidays!$A$2:$B$2107,2,1)</f>
        <v>Y</v>
      </c>
      <c r="I973" s="2" t="str">
        <f>VLOOKUP(A973,Holidays!$A$2:$C$2107,3,1)</f>
        <v>N</v>
      </c>
    </row>
    <row r="974" spans="1:9" x14ac:dyDescent="0.45">
      <c r="A974" s="1">
        <v>42977</v>
      </c>
      <c r="B974">
        <v>137513.465</v>
      </c>
      <c r="C974">
        <v>118.29507649999999</v>
      </c>
      <c r="D974" s="2">
        <v>7.7</v>
      </c>
      <c r="E974" s="2">
        <v>13.8</v>
      </c>
      <c r="F974" s="2">
        <v>12.3</v>
      </c>
      <c r="G974" s="2">
        <v>0.6</v>
      </c>
      <c r="H974" s="2" t="str">
        <f>VLOOKUP(A974,Holidays!$A$2:$B$2107,2,1)</f>
        <v>Y</v>
      </c>
      <c r="I974" s="2" t="str">
        <f>VLOOKUP(A974,Holidays!$A$2:$C$2107,3,1)</f>
        <v>N</v>
      </c>
    </row>
    <row r="975" spans="1:9" x14ac:dyDescent="0.45">
      <c r="A975" s="1">
        <v>42978</v>
      </c>
      <c r="B975">
        <v>133982.255</v>
      </c>
      <c r="C975">
        <v>115.4257008</v>
      </c>
      <c r="D975" s="2">
        <v>4</v>
      </c>
      <c r="E975" s="2">
        <v>16.7</v>
      </c>
      <c r="F975" s="2">
        <v>15.9</v>
      </c>
      <c r="G975" s="2">
        <v>0.2</v>
      </c>
      <c r="H975" s="2" t="str">
        <f>VLOOKUP(A975,Holidays!$A$2:$B$2107,2,1)</f>
        <v>Y</v>
      </c>
      <c r="I975" s="2" t="str">
        <f>VLOOKUP(A975,Holidays!$A$2:$C$2107,3,1)</f>
        <v>N</v>
      </c>
    </row>
    <row r="976" spans="1:9" x14ac:dyDescent="0.45">
      <c r="A976" s="1">
        <v>42979</v>
      </c>
      <c r="B976">
        <v>128707.425</v>
      </c>
      <c r="C976">
        <v>102.27816319999999</v>
      </c>
      <c r="D976" s="2">
        <v>3.7</v>
      </c>
      <c r="E976" s="2">
        <v>17</v>
      </c>
      <c r="F976" s="2">
        <v>14.4</v>
      </c>
      <c r="G976" s="2">
        <v>0</v>
      </c>
      <c r="H976" s="2" t="str">
        <f>VLOOKUP(A976,Holidays!$A$2:$B$2107,2,1)</f>
        <v>Y</v>
      </c>
      <c r="I976" s="2" t="str">
        <f>VLOOKUP(A976,Holidays!$A$2:$C$2107,3,1)</f>
        <v>N</v>
      </c>
    </row>
    <row r="977" spans="1:9" x14ac:dyDescent="0.45">
      <c r="A977" s="1">
        <v>42980</v>
      </c>
      <c r="B977">
        <v>114098.11500000001</v>
      </c>
      <c r="C977">
        <v>89.329916780000005</v>
      </c>
      <c r="D977" s="2">
        <v>7.3</v>
      </c>
      <c r="E977" s="2">
        <v>18.399999999999999</v>
      </c>
      <c r="F977" s="2">
        <v>6.3</v>
      </c>
      <c r="G977" s="2">
        <v>0</v>
      </c>
      <c r="H977" s="2" t="str">
        <f>VLOOKUP(A977,Holidays!$A$2:$B$2107,2,1)</f>
        <v>Y</v>
      </c>
      <c r="I977" s="2" t="str">
        <f>VLOOKUP(A977,Holidays!$A$2:$C$2107,3,1)</f>
        <v>N</v>
      </c>
    </row>
    <row r="978" spans="1:9" x14ac:dyDescent="0.45">
      <c r="A978" s="1">
        <v>42981</v>
      </c>
      <c r="B978">
        <v>103964.33</v>
      </c>
      <c r="C978">
        <v>67.073127529999994</v>
      </c>
      <c r="D978" s="2">
        <v>13.4</v>
      </c>
      <c r="E978" s="2">
        <v>17.2</v>
      </c>
      <c r="F978" s="2">
        <v>6.3</v>
      </c>
      <c r="G978" s="2">
        <v>0</v>
      </c>
      <c r="H978" s="2" t="str">
        <f>VLOOKUP(A978,Holidays!$A$2:$B$2107,2,1)</f>
        <v>Y</v>
      </c>
      <c r="I978" s="2" t="str">
        <f>VLOOKUP(A978,Holidays!$A$2:$C$2107,3,1)</f>
        <v>N</v>
      </c>
    </row>
    <row r="979" spans="1:9" x14ac:dyDescent="0.45">
      <c r="A979" s="1">
        <v>42982</v>
      </c>
      <c r="B979">
        <v>128001.05499999999</v>
      </c>
      <c r="C979">
        <v>93.826620980000001</v>
      </c>
      <c r="D979" s="2">
        <v>8.8000000000000007</v>
      </c>
      <c r="E979" s="2">
        <v>13.7</v>
      </c>
      <c r="F979" s="2">
        <v>13.4</v>
      </c>
      <c r="G979" s="2">
        <v>0.4</v>
      </c>
      <c r="H979" s="2" t="str">
        <f>VLOOKUP(A979,Holidays!$A$2:$B$2107,2,1)</f>
        <v>Y</v>
      </c>
      <c r="I979" s="2" t="str">
        <f>VLOOKUP(A979,Holidays!$A$2:$C$2107,3,1)</f>
        <v>N</v>
      </c>
    </row>
    <row r="980" spans="1:9" x14ac:dyDescent="0.45">
      <c r="A980" s="1">
        <v>42983</v>
      </c>
      <c r="B980">
        <v>137696.67000000001</v>
      </c>
      <c r="C980">
        <v>95.602018139999998</v>
      </c>
      <c r="D980" s="2">
        <v>6.5</v>
      </c>
      <c r="E980" s="2">
        <v>13.3</v>
      </c>
      <c r="F980" s="2">
        <v>11</v>
      </c>
      <c r="G980" s="2">
        <v>0.2</v>
      </c>
      <c r="H980" s="2" t="str">
        <f>VLOOKUP(A980,Holidays!$A$2:$B$2107,2,1)</f>
        <v>Y</v>
      </c>
      <c r="I980" s="2" t="str">
        <f>VLOOKUP(A980,Holidays!$A$2:$C$2107,3,1)</f>
        <v>N</v>
      </c>
    </row>
    <row r="981" spans="1:9" x14ac:dyDescent="0.45">
      <c r="A981" s="1">
        <v>42984</v>
      </c>
      <c r="B981">
        <v>134819.94500000001</v>
      </c>
      <c r="C981">
        <v>101.0173763</v>
      </c>
      <c r="D981" s="2">
        <v>6.7</v>
      </c>
      <c r="E981" s="2">
        <v>15.1</v>
      </c>
      <c r="F981" s="2">
        <v>11</v>
      </c>
      <c r="G981" s="2">
        <v>4.8</v>
      </c>
      <c r="H981" s="2" t="str">
        <f>VLOOKUP(A981,Holidays!$A$2:$B$2107,2,1)</f>
        <v>Y</v>
      </c>
      <c r="I981" s="2" t="str">
        <f>VLOOKUP(A981,Holidays!$A$2:$C$2107,3,1)</f>
        <v>N</v>
      </c>
    </row>
    <row r="982" spans="1:9" x14ac:dyDescent="0.45">
      <c r="A982" s="1">
        <v>42985</v>
      </c>
      <c r="B982">
        <v>133405.72</v>
      </c>
      <c r="C982">
        <v>93.025254910000001</v>
      </c>
      <c r="D982" s="2">
        <v>7.9</v>
      </c>
      <c r="E982" s="2">
        <v>15.2</v>
      </c>
      <c r="F982" s="2">
        <v>9.5</v>
      </c>
      <c r="G982" s="2">
        <v>0.8</v>
      </c>
      <c r="H982" s="2" t="str">
        <f>VLOOKUP(A982,Holidays!$A$2:$B$2107,2,1)</f>
        <v>Y</v>
      </c>
      <c r="I982" s="2" t="str">
        <f>VLOOKUP(A982,Holidays!$A$2:$C$2107,3,1)</f>
        <v>N</v>
      </c>
    </row>
    <row r="983" spans="1:9" x14ac:dyDescent="0.45">
      <c r="A983" s="1">
        <v>42986</v>
      </c>
      <c r="B983">
        <v>132543.1</v>
      </c>
      <c r="C983">
        <v>102.4160808</v>
      </c>
      <c r="D983" s="2">
        <v>8</v>
      </c>
      <c r="E983" s="2">
        <v>13.5</v>
      </c>
      <c r="F983" s="2">
        <v>13.1</v>
      </c>
      <c r="G983" s="2">
        <v>3.2</v>
      </c>
      <c r="H983" s="2" t="str">
        <f>VLOOKUP(A983,Holidays!$A$2:$B$2107,2,1)</f>
        <v>Y</v>
      </c>
      <c r="I983" s="2" t="str">
        <f>VLOOKUP(A983,Holidays!$A$2:$C$2107,3,1)</f>
        <v>N</v>
      </c>
    </row>
    <row r="984" spans="1:9" x14ac:dyDescent="0.45">
      <c r="A984" s="1">
        <v>42987</v>
      </c>
      <c r="B984">
        <v>120454.01</v>
      </c>
      <c r="C984">
        <v>96.910244129999995</v>
      </c>
      <c r="D984" s="2">
        <v>7.1</v>
      </c>
      <c r="E984" s="2">
        <v>14.9</v>
      </c>
      <c r="F984" s="2">
        <v>15.9</v>
      </c>
      <c r="G984" s="2">
        <v>1.2</v>
      </c>
      <c r="H984" s="2" t="str">
        <f>VLOOKUP(A984,Holidays!$A$2:$B$2107,2,1)</f>
        <v>Y</v>
      </c>
      <c r="I984" s="2" t="str">
        <f>VLOOKUP(A984,Holidays!$A$2:$C$2107,3,1)</f>
        <v>N</v>
      </c>
    </row>
    <row r="985" spans="1:9" x14ac:dyDescent="0.45">
      <c r="A985" s="1">
        <v>42988</v>
      </c>
      <c r="B985">
        <v>114584.065</v>
      </c>
      <c r="C985">
        <v>91.883909369999998</v>
      </c>
      <c r="D985" s="2">
        <v>5.3</v>
      </c>
      <c r="E985" s="2">
        <v>16.100000000000001</v>
      </c>
      <c r="F985" s="2">
        <v>12.3</v>
      </c>
      <c r="G985" s="2">
        <v>0.2</v>
      </c>
      <c r="H985" s="2" t="str">
        <f>VLOOKUP(A985,Holidays!$A$2:$B$2107,2,1)</f>
        <v>Y</v>
      </c>
      <c r="I985" s="2" t="str">
        <f>VLOOKUP(A985,Holidays!$A$2:$C$2107,3,1)</f>
        <v>N</v>
      </c>
    </row>
    <row r="986" spans="1:9" x14ac:dyDescent="0.45">
      <c r="A986" s="1">
        <v>42989</v>
      </c>
      <c r="B986">
        <v>127169.03</v>
      </c>
      <c r="C986">
        <v>86.68557783</v>
      </c>
      <c r="D986" s="2">
        <v>8.1</v>
      </c>
      <c r="E986" s="2">
        <v>18.100000000000001</v>
      </c>
      <c r="F986" s="2">
        <v>7</v>
      </c>
      <c r="G986" s="2">
        <v>0</v>
      </c>
      <c r="H986" s="2" t="str">
        <f>VLOOKUP(A986,Holidays!$A$2:$B$2107,2,1)</f>
        <v>Y</v>
      </c>
      <c r="I986" s="2" t="str">
        <f>VLOOKUP(A986,Holidays!$A$2:$C$2107,3,1)</f>
        <v>N</v>
      </c>
    </row>
    <row r="987" spans="1:9" x14ac:dyDescent="0.45">
      <c r="A987" s="1">
        <v>42990</v>
      </c>
      <c r="B987">
        <v>130906.89</v>
      </c>
      <c r="C987">
        <v>94.772968660000004</v>
      </c>
      <c r="D987" s="2">
        <v>12.2</v>
      </c>
      <c r="E987" s="2">
        <v>19.899999999999999</v>
      </c>
      <c r="F987" s="2">
        <v>3.5</v>
      </c>
      <c r="G987" s="2">
        <v>0.2</v>
      </c>
      <c r="H987" s="2" t="str">
        <f>VLOOKUP(A987,Holidays!$A$2:$B$2107,2,1)</f>
        <v>Y</v>
      </c>
      <c r="I987" s="2" t="str">
        <f>VLOOKUP(A987,Holidays!$A$2:$C$2107,3,1)</f>
        <v>N</v>
      </c>
    </row>
    <row r="988" spans="1:9" x14ac:dyDescent="0.45">
      <c r="A988" s="1">
        <v>42991</v>
      </c>
      <c r="B988">
        <v>127192.315</v>
      </c>
      <c r="C988">
        <v>88.361935939999995</v>
      </c>
      <c r="D988" s="2">
        <v>13.3</v>
      </c>
      <c r="E988" s="2">
        <v>16.399999999999999</v>
      </c>
      <c r="F988" s="2">
        <v>8.1999999999999993</v>
      </c>
      <c r="G988" s="2">
        <v>2</v>
      </c>
      <c r="H988" s="2" t="str">
        <f>VLOOKUP(A988,Holidays!$A$2:$B$2107,2,1)</f>
        <v>Y</v>
      </c>
      <c r="I988" s="2" t="str">
        <f>VLOOKUP(A988,Holidays!$A$2:$C$2107,3,1)</f>
        <v>N</v>
      </c>
    </row>
    <row r="989" spans="1:9" x14ac:dyDescent="0.45">
      <c r="A989" s="1">
        <v>42992</v>
      </c>
      <c r="B989">
        <v>131986.80499999999</v>
      </c>
      <c r="C989">
        <v>89.57361118</v>
      </c>
      <c r="D989" s="2">
        <v>5.8</v>
      </c>
      <c r="E989" s="2">
        <v>15.3</v>
      </c>
      <c r="F989" s="2">
        <v>10.8</v>
      </c>
      <c r="G989" s="2">
        <v>1.4</v>
      </c>
      <c r="H989" s="2" t="str">
        <f>VLOOKUP(A989,Holidays!$A$2:$B$2107,2,1)</f>
        <v>Y</v>
      </c>
      <c r="I989" s="2" t="str">
        <f>VLOOKUP(A989,Holidays!$A$2:$C$2107,3,1)</f>
        <v>N</v>
      </c>
    </row>
    <row r="990" spans="1:9" x14ac:dyDescent="0.45">
      <c r="A990" s="1">
        <v>42993</v>
      </c>
      <c r="B990">
        <v>128761.605</v>
      </c>
      <c r="C990">
        <v>89.236201120000004</v>
      </c>
      <c r="D990" s="2">
        <v>9.6</v>
      </c>
      <c r="E990" s="2">
        <v>16.7</v>
      </c>
      <c r="F990" s="2">
        <v>7</v>
      </c>
      <c r="G990" s="2">
        <v>0</v>
      </c>
      <c r="H990" s="2" t="str">
        <f>VLOOKUP(A990,Holidays!$A$2:$B$2107,2,1)</f>
        <v>Y</v>
      </c>
      <c r="I990" s="2" t="str">
        <f>VLOOKUP(A990,Holidays!$A$2:$C$2107,3,1)</f>
        <v>N</v>
      </c>
    </row>
    <row r="991" spans="1:9" x14ac:dyDescent="0.45">
      <c r="A991" s="1">
        <v>42994</v>
      </c>
      <c r="B991">
        <v>111301.56</v>
      </c>
      <c r="C991">
        <v>89.607587129999999</v>
      </c>
      <c r="D991" s="2">
        <v>7.4</v>
      </c>
      <c r="E991" s="2">
        <v>13.3</v>
      </c>
      <c r="F991" s="2">
        <v>16.7</v>
      </c>
      <c r="G991" s="2">
        <v>21.4</v>
      </c>
      <c r="H991" s="2" t="str">
        <f>VLOOKUP(A991,Holidays!$A$2:$B$2107,2,1)</f>
        <v>Y</v>
      </c>
      <c r="I991" s="2" t="str">
        <f>VLOOKUP(A991,Holidays!$A$2:$C$2107,3,1)</f>
        <v>N</v>
      </c>
    </row>
    <row r="992" spans="1:9" x14ac:dyDescent="0.45">
      <c r="A992" s="1">
        <v>42995</v>
      </c>
      <c r="B992">
        <v>104766</v>
      </c>
      <c r="C992">
        <v>75.509598890000007</v>
      </c>
      <c r="D992" s="2">
        <v>4</v>
      </c>
      <c r="E992" s="2">
        <v>18.100000000000001</v>
      </c>
      <c r="F992" s="2">
        <v>19</v>
      </c>
      <c r="G992" s="2">
        <v>0.2</v>
      </c>
      <c r="H992" s="2" t="str">
        <f>VLOOKUP(A992,Holidays!$A$2:$B$2107,2,1)</f>
        <v>Y</v>
      </c>
      <c r="I992" s="2" t="str">
        <f>VLOOKUP(A992,Holidays!$A$2:$C$2107,3,1)</f>
        <v>N</v>
      </c>
    </row>
    <row r="993" spans="1:9" x14ac:dyDescent="0.45">
      <c r="A993" s="1">
        <v>42996</v>
      </c>
      <c r="B993">
        <v>115123.54</v>
      </c>
      <c r="C993">
        <v>79.783447899999999</v>
      </c>
      <c r="D993" s="2">
        <v>10.5</v>
      </c>
      <c r="E993" s="2">
        <v>22</v>
      </c>
      <c r="F993" s="2">
        <v>15.7</v>
      </c>
      <c r="G993" s="2">
        <v>0</v>
      </c>
      <c r="H993" s="2" t="str">
        <f>VLOOKUP(A993,Holidays!$A$2:$B$2107,2,1)</f>
        <v>Y</v>
      </c>
      <c r="I993" s="2" t="str">
        <f>VLOOKUP(A993,Holidays!$A$2:$C$2107,3,1)</f>
        <v>N</v>
      </c>
    </row>
    <row r="994" spans="1:9" x14ac:dyDescent="0.45">
      <c r="A994" s="1">
        <v>42997</v>
      </c>
      <c r="B994">
        <v>124033.955</v>
      </c>
      <c r="C994">
        <v>92.372768620000002</v>
      </c>
      <c r="D994" s="2">
        <v>9</v>
      </c>
      <c r="E994" s="2">
        <v>13.9</v>
      </c>
      <c r="F994" s="2">
        <v>16.600000000000001</v>
      </c>
      <c r="G994" s="2">
        <v>0.2</v>
      </c>
      <c r="H994" s="2" t="str">
        <f>VLOOKUP(A994,Holidays!$A$2:$B$2107,2,1)</f>
        <v>Y</v>
      </c>
      <c r="I994" s="2" t="str">
        <f>VLOOKUP(A994,Holidays!$A$2:$C$2107,3,1)</f>
        <v>N</v>
      </c>
    </row>
    <row r="995" spans="1:9" x14ac:dyDescent="0.45">
      <c r="A995" s="1">
        <v>42998</v>
      </c>
      <c r="B995">
        <v>123461.38</v>
      </c>
      <c r="C995">
        <v>82.595610879999995</v>
      </c>
      <c r="D995" s="2">
        <v>6</v>
      </c>
      <c r="E995" s="2">
        <v>19.2</v>
      </c>
      <c r="F995" s="2">
        <v>17.3</v>
      </c>
      <c r="G995" s="2">
        <v>0</v>
      </c>
      <c r="H995" s="2" t="str">
        <f>VLOOKUP(A995,Holidays!$A$2:$B$2107,2,1)</f>
        <v>Y</v>
      </c>
      <c r="I995" s="2" t="str">
        <f>VLOOKUP(A995,Holidays!$A$2:$C$2107,3,1)</f>
        <v>N</v>
      </c>
    </row>
    <row r="996" spans="1:9" x14ac:dyDescent="0.45">
      <c r="A996" s="1">
        <v>42999</v>
      </c>
      <c r="B996">
        <v>119309.93</v>
      </c>
      <c r="C996">
        <v>74.957769020000001</v>
      </c>
      <c r="D996" s="2">
        <v>11.6</v>
      </c>
      <c r="E996" s="2">
        <v>23.6</v>
      </c>
      <c r="F996" s="2">
        <v>13</v>
      </c>
      <c r="G996" s="2">
        <v>0</v>
      </c>
      <c r="H996" s="2" t="str">
        <f>VLOOKUP(A996,Holidays!$A$2:$B$2107,2,1)</f>
        <v>Y</v>
      </c>
      <c r="I996" s="2" t="str">
        <f>VLOOKUP(A996,Holidays!$A$2:$C$2107,3,1)</f>
        <v>N</v>
      </c>
    </row>
    <row r="997" spans="1:9" x14ac:dyDescent="0.45">
      <c r="A997" s="1">
        <v>43000</v>
      </c>
      <c r="B997">
        <v>116611.25</v>
      </c>
      <c r="C997">
        <v>75.289119159999998</v>
      </c>
      <c r="D997" s="2">
        <v>12.8</v>
      </c>
      <c r="E997" s="2">
        <v>25.6</v>
      </c>
      <c r="F997" s="2">
        <v>15.6</v>
      </c>
      <c r="G997" s="2">
        <v>0</v>
      </c>
      <c r="H997" s="2" t="str">
        <f>VLOOKUP(A997,Holidays!$A$2:$B$2107,2,1)</f>
        <v>N</v>
      </c>
      <c r="I997" s="2" t="str">
        <f>VLOOKUP(A997,Holidays!$A$2:$C$2107,3,1)</f>
        <v>N</v>
      </c>
    </row>
    <row r="998" spans="1:9" x14ac:dyDescent="0.45">
      <c r="A998" s="1">
        <v>43001</v>
      </c>
      <c r="B998">
        <v>101012.29</v>
      </c>
      <c r="C998">
        <v>63.0173962</v>
      </c>
      <c r="D998" s="2">
        <v>14.8</v>
      </c>
      <c r="E998" s="2">
        <v>30.6</v>
      </c>
      <c r="F998" s="2">
        <v>17.3</v>
      </c>
      <c r="G998" s="2">
        <v>0</v>
      </c>
      <c r="H998" s="2" t="str">
        <f>VLOOKUP(A998,Holidays!$A$2:$B$2107,2,1)</f>
        <v>N</v>
      </c>
      <c r="I998" s="2" t="str">
        <f>VLOOKUP(A998,Holidays!$A$2:$C$2107,3,1)</f>
        <v>N</v>
      </c>
    </row>
    <row r="999" spans="1:9" x14ac:dyDescent="0.45">
      <c r="A999" s="1">
        <v>43002</v>
      </c>
      <c r="B999">
        <v>92608.24</v>
      </c>
      <c r="C999">
        <v>43.197347600000001</v>
      </c>
      <c r="D999" s="2">
        <v>12.9</v>
      </c>
      <c r="E999" s="2">
        <v>19.899999999999999</v>
      </c>
      <c r="F999" s="2">
        <v>12</v>
      </c>
      <c r="G999" s="2">
        <v>0.4</v>
      </c>
      <c r="H999" s="2" t="str">
        <f>VLOOKUP(A999,Holidays!$A$2:$B$2107,2,1)</f>
        <v>N</v>
      </c>
      <c r="I999" s="2" t="str">
        <f>VLOOKUP(A999,Holidays!$A$2:$C$2107,3,1)</f>
        <v>N</v>
      </c>
    </row>
    <row r="1000" spans="1:9" x14ac:dyDescent="0.45">
      <c r="A1000" s="1">
        <v>43003</v>
      </c>
      <c r="B1000">
        <v>119126.485</v>
      </c>
      <c r="C1000">
        <v>71.241065710000001</v>
      </c>
      <c r="D1000" s="2">
        <v>10.3</v>
      </c>
      <c r="E1000" s="2">
        <v>14.2</v>
      </c>
      <c r="F1000" s="2">
        <v>10.9</v>
      </c>
      <c r="G1000" s="2">
        <v>1.6</v>
      </c>
      <c r="H1000" s="2" t="str">
        <f>VLOOKUP(A1000,Holidays!$A$2:$B$2107,2,1)</f>
        <v>N</v>
      </c>
      <c r="I1000" s="2" t="str">
        <f>VLOOKUP(A1000,Holidays!$A$2:$C$2107,3,1)</f>
        <v>N</v>
      </c>
    </row>
    <row r="1001" spans="1:9" x14ac:dyDescent="0.45">
      <c r="A1001" s="1">
        <v>43004</v>
      </c>
      <c r="B1001">
        <v>124452.94</v>
      </c>
      <c r="C1001">
        <v>79.800225260000005</v>
      </c>
      <c r="D1001" s="2">
        <v>5</v>
      </c>
      <c r="E1001" s="2">
        <v>15.1</v>
      </c>
      <c r="F1001" s="2">
        <v>20.399999999999999</v>
      </c>
      <c r="G1001" s="2">
        <v>0.4</v>
      </c>
      <c r="H1001" s="2" t="str">
        <f>VLOOKUP(A1001,Holidays!$A$2:$B$2107,2,1)</f>
        <v>N</v>
      </c>
      <c r="I1001" s="2" t="str">
        <f>VLOOKUP(A1001,Holidays!$A$2:$C$2107,3,1)</f>
        <v>N</v>
      </c>
    </row>
    <row r="1002" spans="1:9" x14ac:dyDescent="0.45">
      <c r="A1002" s="1">
        <v>43005</v>
      </c>
      <c r="B1002">
        <v>119028.07</v>
      </c>
      <c r="C1002">
        <v>72.545509100000004</v>
      </c>
      <c r="D1002" s="2">
        <v>9.6</v>
      </c>
      <c r="E1002" s="2">
        <v>24.6</v>
      </c>
      <c r="F1002" s="2">
        <v>11.7</v>
      </c>
      <c r="G1002" s="2">
        <v>0</v>
      </c>
      <c r="H1002" s="2" t="str">
        <f>VLOOKUP(A1002,Holidays!$A$2:$B$2107,2,1)</f>
        <v>N</v>
      </c>
      <c r="I1002" s="2" t="str">
        <f>VLOOKUP(A1002,Holidays!$A$2:$C$2107,3,1)</f>
        <v>N</v>
      </c>
    </row>
    <row r="1003" spans="1:9" x14ac:dyDescent="0.45">
      <c r="A1003" s="1">
        <v>43006</v>
      </c>
      <c r="B1003">
        <v>116655.855</v>
      </c>
      <c r="C1003">
        <v>61.649556580000002</v>
      </c>
      <c r="D1003" s="2">
        <v>10.4</v>
      </c>
      <c r="E1003" s="2">
        <v>18.5</v>
      </c>
      <c r="F1003" s="2">
        <v>12.8</v>
      </c>
      <c r="G1003" s="2">
        <v>0</v>
      </c>
      <c r="H1003" s="2" t="str">
        <f>VLOOKUP(A1003,Holidays!$A$2:$B$2107,2,1)</f>
        <v>N</v>
      </c>
      <c r="I1003" s="2" t="str">
        <f>VLOOKUP(A1003,Holidays!$A$2:$C$2107,3,1)</f>
        <v>N</v>
      </c>
    </row>
    <row r="1004" spans="1:9" x14ac:dyDescent="0.45">
      <c r="A1004" s="1">
        <v>43007</v>
      </c>
      <c r="B1004">
        <v>102847.255</v>
      </c>
      <c r="C1004">
        <v>42.634675649999998</v>
      </c>
      <c r="D1004" s="2">
        <v>10.6</v>
      </c>
      <c r="E1004" s="2">
        <v>18.399999999999999</v>
      </c>
      <c r="F1004" s="2">
        <v>14.5</v>
      </c>
      <c r="G1004" s="2">
        <v>0</v>
      </c>
      <c r="H1004" s="2" t="str">
        <f>VLOOKUP(A1004,Holidays!$A$2:$B$2107,2,1)</f>
        <v>N</v>
      </c>
      <c r="I1004" s="2" t="str">
        <f>VLOOKUP(A1004,Holidays!$A$2:$C$2107,3,1)</f>
        <v>Y</v>
      </c>
    </row>
    <row r="1005" spans="1:9" x14ac:dyDescent="0.45">
      <c r="A1005" s="1">
        <v>43008</v>
      </c>
      <c r="B1005">
        <v>100701.82</v>
      </c>
      <c r="C1005">
        <v>47.309943529999998</v>
      </c>
      <c r="D1005" s="2">
        <v>11</v>
      </c>
      <c r="E1005" s="2">
        <v>15.4</v>
      </c>
      <c r="F1005" s="2">
        <v>16.100000000000001</v>
      </c>
      <c r="G1005" s="2">
        <v>1</v>
      </c>
      <c r="H1005" s="2" t="str">
        <f>VLOOKUP(A1005,Holidays!$A$2:$B$2107,2,1)</f>
        <v>N</v>
      </c>
      <c r="I1005" s="2" t="str">
        <f>VLOOKUP(A1005,Holidays!$A$2:$C$2107,3,1)</f>
        <v>N</v>
      </c>
    </row>
    <row r="1006" spans="1:9" x14ac:dyDescent="0.45">
      <c r="A1006" s="1">
        <v>43009</v>
      </c>
      <c r="B1006">
        <v>103556.74</v>
      </c>
      <c r="C1006">
        <v>58.989627579999997</v>
      </c>
      <c r="D1006" s="2">
        <v>9.6999999999999993</v>
      </c>
      <c r="E1006" s="2">
        <v>17.2</v>
      </c>
      <c r="F1006" s="2">
        <v>9.1999999999999993</v>
      </c>
      <c r="G1006" s="2">
        <v>0</v>
      </c>
      <c r="H1006" s="2" t="str">
        <f>VLOOKUP(A1006,Holidays!$A$2:$B$2107,2,1)</f>
        <v>N</v>
      </c>
      <c r="I1006" s="2" t="str">
        <f>VLOOKUP(A1006,Holidays!$A$2:$C$2107,3,1)</f>
        <v>N</v>
      </c>
    </row>
    <row r="1007" spans="1:9" x14ac:dyDescent="0.45">
      <c r="A1007" s="1">
        <v>43010</v>
      </c>
      <c r="B1007">
        <v>119226.42</v>
      </c>
      <c r="C1007">
        <v>74.497158290000002</v>
      </c>
      <c r="D1007" s="2">
        <v>9.5</v>
      </c>
      <c r="E1007" s="2">
        <v>16.399999999999999</v>
      </c>
      <c r="F1007" s="2">
        <v>16.399999999999999</v>
      </c>
      <c r="G1007" s="2">
        <v>0</v>
      </c>
      <c r="H1007" s="2" t="str">
        <f>VLOOKUP(A1007,Holidays!$A$2:$B$2107,2,1)</f>
        <v>N</v>
      </c>
      <c r="I1007" s="2" t="str">
        <f>VLOOKUP(A1007,Holidays!$A$2:$C$2107,3,1)</f>
        <v>N</v>
      </c>
    </row>
    <row r="1008" spans="1:9" x14ac:dyDescent="0.45">
      <c r="A1008" s="1">
        <v>43011</v>
      </c>
      <c r="B1008">
        <v>118856.41499999999</v>
      </c>
      <c r="C1008">
        <v>79.059146049999995</v>
      </c>
      <c r="D1008" s="2">
        <v>6.8</v>
      </c>
      <c r="E1008" s="2">
        <v>22.3</v>
      </c>
      <c r="F1008" s="2">
        <v>21.8</v>
      </c>
      <c r="G1008" s="2">
        <v>0</v>
      </c>
      <c r="H1008" s="2" t="str">
        <f>VLOOKUP(A1008,Holidays!$A$2:$B$2107,2,1)</f>
        <v>N</v>
      </c>
      <c r="I1008" s="2" t="str">
        <f>VLOOKUP(A1008,Holidays!$A$2:$C$2107,3,1)</f>
        <v>N</v>
      </c>
    </row>
    <row r="1009" spans="1:9" x14ac:dyDescent="0.45">
      <c r="A1009" s="1">
        <v>43012</v>
      </c>
      <c r="B1009">
        <v>114604.62</v>
      </c>
      <c r="C1009">
        <v>71.108733229999999</v>
      </c>
      <c r="D1009" s="2">
        <v>8.5</v>
      </c>
      <c r="E1009" s="2">
        <v>20.8</v>
      </c>
      <c r="F1009" s="2">
        <v>21.6</v>
      </c>
      <c r="G1009" s="2">
        <v>0</v>
      </c>
      <c r="H1009" s="2" t="str">
        <f>VLOOKUP(A1009,Holidays!$A$2:$B$2107,2,1)</f>
        <v>N</v>
      </c>
      <c r="I1009" s="2" t="str">
        <f>VLOOKUP(A1009,Holidays!$A$2:$C$2107,3,1)</f>
        <v>N</v>
      </c>
    </row>
    <row r="1010" spans="1:9" x14ac:dyDescent="0.45">
      <c r="A1010" s="1">
        <v>43013</v>
      </c>
      <c r="B1010">
        <v>113134.58</v>
      </c>
      <c r="C1010">
        <v>65.315736259999994</v>
      </c>
      <c r="D1010" s="2">
        <v>11.7</v>
      </c>
      <c r="E1010" s="2">
        <v>19.399999999999999</v>
      </c>
      <c r="F1010" s="2">
        <v>10.4</v>
      </c>
      <c r="G1010" s="2">
        <v>0</v>
      </c>
      <c r="H1010" s="2" t="str">
        <f>VLOOKUP(A1010,Holidays!$A$2:$B$2107,2,1)</f>
        <v>N</v>
      </c>
      <c r="I1010" s="2" t="str">
        <f>VLOOKUP(A1010,Holidays!$A$2:$C$2107,3,1)</f>
        <v>N</v>
      </c>
    </row>
    <row r="1011" spans="1:9" x14ac:dyDescent="0.45">
      <c r="A1011" s="1">
        <v>43014</v>
      </c>
      <c r="B1011">
        <v>118359.28</v>
      </c>
      <c r="C1011">
        <v>53.429039449999998</v>
      </c>
      <c r="D1011" s="2">
        <v>10.1</v>
      </c>
      <c r="E1011" s="2">
        <v>15</v>
      </c>
      <c r="F1011" s="2">
        <v>16.8</v>
      </c>
      <c r="G1011" s="2">
        <v>2.4</v>
      </c>
      <c r="H1011" s="2" t="str">
        <f>VLOOKUP(A1011,Holidays!$A$2:$B$2107,2,1)</f>
        <v>N</v>
      </c>
      <c r="I1011" s="2" t="str">
        <f>VLOOKUP(A1011,Holidays!$A$2:$C$2107,3,1)</f>
        <v>N</v>
      </c>
    </row>
    <row r="1012" spans="1:9" x14ac:dyDescent="0.45">
      <c r="A1012" s="1">
        <v>43015</v>
      </c>
      <c r="B1012">
        <v>101974.595</v>
      </c>
      <c r="C1012">
        <v>38.89411226</v>
      </c>
      <c r="D1012" s="2">
        <v>7.2</v>
      </c>
      <c r="E1012" s="2">
        <v>23.7</v>
      </c>
      <c r="F1012" s="2">
        <v>17.3</v>
      </c>
      <c r="G1012" s="2">
        <v>0.2</v>
      </c>
      <c r="H1012" s="2" t="str">
        <f>VLOOKUP(A1012,Holidays!$A$2:$B$2107,2,1)</f>
        <v>N</v>
      </c>
      <c r="I1012" s="2" t="str">
        <f>VLOOKUP(A1012,Holidays!$A$2:$C$2107,3,1)</f>
        <v>N</v>
      </c>
    </row>
    <row r="1013" spans="1:9" x14ac:dyDescent="0.45">
      <c r="A1013" s="1">
        <v>43016</v>
      </c>
      <c r="B1013">
        <v>97053.544999999998</v>
      </c>
      <c r="C1013">
        <v>56.16035213</v>
      </c>
      <c r="D1013" s="2">
        <v>11.1</v>
      </c>
      <c r="E1013" s="2">
        <v>25.3</v>
      </c>
      <c r="F1013" s="2">
        <v>19.5</v>
      </c>
      <c r="G1013" s="2">
        <v>0</v>
      </c>
      <c r="H1013" s="2" t="str">
        <f>VLOOKUP(A1013,Holidays!$A$2:$B$2107,2,1)</f>
        <v>N</v>
      </c>
      <c r="I1013" s="2" t="str">
        <f>VLOOKUP(A1013,Holidays!$A$2:$C$2107,3,1)</f>
        <v>N</v>
      </c>
    </row>
    <row r="1014" spans="1:9" x14ac:dyDescent="0.45">
      <c r="A1014" s="1">
        <v>43017</v>
      </c>
      <c r="B1014">
        <v>111432.36500000001</v>
      </c>
      <c r="C1014">
        <v>68.87949682</v>
      </c>
      <c r="D1014" s="2">
        <v>14</v>
      </c>
      <c r="E1014" s="2">
        <v>18.7</v>
      </c>
      <c r="F1014" s="2">
        <v>16.7</v>
      </c>
      <c r="G1014" s="2">
        <v>2.4</v>
      </c>
      <c r="H1014" s="2" t="str">
        <f>VLOOKUP(A1014,Holidays!$A$2:$B$2107,2,1)</f>
        <v>N</v>
      </c>
      <c r="I1014" s="2" t="str">
        <f>VLOOKUP(A1014,Holidays!$A$2:$C$2107,3,1)</f>
        <v>N</v>
      </c>
    </row>
    <row r="1015" spans="1:9" x14ac:dyDescent="0.45">
      <c r="A1015" s="1">
        <v>43018</v>
      </c>
      <c r="B1015">
        <v>116556.425</v>
      </c>
      <c r="C1015">
        <v>77.452308540000004</v>
      </c>
      <c r="D1015" s="2">
        <v>8</v>
      </c>
      <c r="E1015" s="2">
        <v>18.8</v>
      </c>
      <c r="F1015" s="2">
        <v>23.6</v>
      </c>
      <c r="G1015" s="2">
        <v>0.2</v>
      </c>
      <c r="H1015" s="2" t="str">
        <f>VLOOKUP(A1015,Holidays!$A$2:$B$2107,2,1)</f>
        <v>Y</v>
      </c>
      <c r="I1015" s="2" t="str">
        <f>VLOOKUP(A1015,Holidays!$A$2:$C$2107,3,1)</f>
        <v>N</v>
      </c>
    </row>
    <row r="1016" spans="1:9" x14ac:dyDescent="0.45">
      <c r="A1016" s="1">
        <v>43019</v>
      </c>
      <c r="B1016">
        <v>114133.54</v>
      </c>
      <c r="C1016">
        <v>55.553221790000002</v>
      </c>
      <c r="D1016" s="2">
        <v>9.8000000000000007</v>
      </c>
      <c r="E1016" s="2">
        <v>25.6</v>
      </c>
      <c r="F1016" s="2">
        <v>7.5</v>
      </c>
      <c r="G1016" s="2">
        <v>0</v>
      </c>
      <c r="H1016" s="2" t="str">
        <f>VLOOKUP(A1016,Holidays!$A$2:$B$2107,2,1)</f>
        <v>Y</v>
      </c>
      <c r="I1016" s="2" t="str">
        <f>VLOOKUP(A1016,Holidays!$A$2:$C$2107,3,1)</f>
        <v>N</v>
      </c>
    </row>
    <row r="1017" spans="1:9" x14ac:dyDescent="0.45">
      <c r="A1017" s="1">
        <v>43020</v>
      </c>
      <c r="B1017">
        <v>113957.735</v>
      </c>
      <c r="C1017">
        <v>56.959277329999999</v>
      </c>
      <c r="D1017" s="2">
        <v>10.5</v>
      </c>
      <c r="E1017" s="2">
        <v>19.2</v>
      </c>
      <c r="F1017" s="2">
        <v>15.6</v>
      </c>
      <c r="G1017" s="2">
        <v>10</v>
      </c>
      <c r="H1017" s="2" t="str">
        <f>VLOOKUP(A1017,Holidays!$A$2:$B$2107,2,1)</f>
        <v>Y</v>
      </c>
      <c r="I1017" s="2" t="str">
        <f>VLOOKUP(A1017,Holidays!$A$2:$C$2107,3,1)</f>
        <v>N</v>
      </c>
    </row>
    <row r="1018" spans="1:9" x14ac:dyDescent="0.45">
      <c r="A1018" s="1">
        <v>43021</v>
      </c>
      <c r="B1018">
        <v>117048.72500000001</v>
      </c>
      <c r="C1018">
        <v>83.756746089999993</v>
      </c>
      <c r="D1018" s="2">
        <v>13.1</v>
      </c>
      <c r="E1018" s="2">
        <v>16.7</v>
      </c>
      <c r="F1018" s="2">
        <v>12.5</v>
      </c>
      <c r="G1018" s="2">
        <v>0</v>
      </c>
      <c r="H1018" s="2" t="str">
        <f>VLOOKUP(A1018,Holidays!$A$2:$B$2107,2,1)</f>
        <v>Y</v>
      </c>
      <c r="I1018" s="2" t="str">
        <f>VLOOKUP(A1018,Holidays!$A$2:$C$2107,3,1)</f>
        <v>N</v>
      </c>
    </row>
    <row r="1019" spans="1:9" x14ac:dyDescent="0.45">
      <c r="A1019" s="1">
        <v>43022</v>
      </c>
      <c r="B1019">
        <v>102037.16499999999</v>
      </c>
      <c r="C1019">
        <v>85.403883269999994</v>
      </c>
      <c r="D1019" s="2">
        <v>8.1999999999999993</v>
      </c>
      <c r="E1019" s="2">
        <v>16.100000000000001</v>
      </c>
      <c r="F1019" s="2">
        <v>23.6</v>
      </c>
      <c r="G1019" s="2">
        <v>0</v>
      </c>
      <c r="H1019" s="2" t="str">
        <f>VLOOKUP(A1019,Holidays!$A$2:$B$2107,2,1)</f>
        <v>Y</v>
      </c>
      <c r="I1019" s="2" t="str">
        <f>VLOOKUP(A1019,Holidays!$A$2:$C$2107,3,1)</f>
        <v>N</v>
      </c>
    </row>
    <row r="1020" spans="1:9" x14ac:dyDescent="0.45">
      <c r="A1020" s="1">
        <v>43023</v>
      </c>
      <c r="B1020">
        <v>98108.815000000002</v>
      </c>
      <c r="C1020">
        <v>71.602890579999993</v>
      </c>
      <c r="D1020" s="2">
        <v>6.8</v>
      </c>
      <c r="E1020" s="2">
        <v>17.600000000000001</v>
      </c>
      <c r="F1020" s="2">
        <v>24.5</v>
      </c>
      <c r="G1020" s="2">
        <v>0</v>
      </c>
      <c r="H1020" s="2" t="str">
        <f>VLOOKUP(A1020,Holidays!$A$2:$B$2107,2,1)</f>
        <v>Y</v>
      </c>
      <c r="I1020" s="2" t="str">
        <f>VLOOKUP(A1020,Holidays!$A$2:$C$2107,3,1)</f>
        <v>N</v>
      </c>
    </row>
    <row r="1021" spans="1:9" x14ac:dyDescent="0.45">
      <c r="A1021" s="1">
        <v>43024</v>
      </c>
      <c r="B1021">
        <v>115907.395</v>
      </c>
      <c r="C1021">
        <v>84.013226709999998</v>
      </c>
      <c r="D1021" s="2">
        <v>11.3</v>
      </c>
      <c r="E1021" s="2">
        <v>28.6</v>
      </c>
      <c r="F1021" s="2">
        <v>23.8</v>
      </c>
      <c r="G1021" s="2">
        <v>0</v>
      </c>
      <c r="H1021" s="2" t="str">
        <f>VLOOKUP(A1021,Holidays!$A$2:$B$2107,2,1)</f>
        <v>Y</v>
      </c>
      <c r="I1021" s="2" t="str">
        <f>VLOOKUP(A1021,Holidays!$A$2:$C$2107,3,1)</f>
        <v>N</v>
      </c>
    </row>
    <row r="1022" spans="1:9" x14ac:dyDescent="0.45">
      <c r="A1022" s="1">
        <v>43025</v>
      </c>
      <c r="B1022">
        <v>117470.22</v>
      </c>
      <c r="C1022">
        <v>76.51584579</v>
      </c>
      <c r="D1022" s="2">
        <v>12.8</v>
      </c>
      <c r="E1022" s="2">
        <v>30.2</v>
      </c>
      <c r="F1022" s="2">
        <v>24.9</v>
      </c>
      <c r="G1022" s="2">
        <v>0</v>
      </c>
      <c r="H1022" s="2" t="str">
        <f>VLOOKUP(A1022,Holidays!$A$2:$B$2107,2,1)</f>
        <v>Y</v>
      </c>
      <c r="I1022" s="2" t="str">
        <f>VLOOKUP(A1022,Holidays!$A$2:$C$2107,3,1)</f>
        <v>N</v>
      </c>
    </row>
    <row r="1023" spans="1:9" x14ac:dyDescent="0.45">
      <c r="A1023" s="1">
        <v>43026</v>
      </c>
      <c r="B1023">
        <v>121087.1</v>
      </c>
      <c r="C1023">
        <v>92.334121359999997</v>
      </c>
      <c r="D1023" s="2">
        <v>14.5</v>
      </c>
      <c r="E1023" s="2">
        <v>30.9</v>
      </c>
      <c r="F1023" s="2">
        <v>25.1</v>
      </c>
      <c r="G1023" s="2">
        <v>0</v>
      </c>
      <c r="H1023" s="2" t="str">
        <f>VLOOKUP(A1023,Holidays!$A$2:$B$2107,2,1)</f>
        <v>Y</v>
      </c>
      <c r="I1023" s="2" t="str">
        <f>VLOOKUP(A1023,Holidays!$A$2:$C$2107,3,1)</f>
        <v>N</v>
      </c>
    </row>
    <row r="1024" spans="1:9" x14ac:dyDescent="0.45">
      <c r="A1024" s="1">
        <v>43027</v>
      </c>
      <c r="B1024">
        <v>118201.175</v>
      </c>
      <c r="C1024">
        <v>80.376717099999993</v>
      </c>
      <c r="D1024" s="2">
        <v>21.7</v>
      </c>
      <c r="E1024" s="2">
        <v>25.6</v>
      </c>
      <c r="F1024" s="2">
        <v>9.8000000000000007</v>
      </c>
      <c r="G1024" s="2">
        <v>0</v>
      </c>
      <c r="H1024" s="2" t="str">
        <f>VLOOKUP(A1024,Holidays!$A$2:$B$2107,2,1)</f>
        <v>Y</v>
      </c>
      <c r="I1024" s="2" t="str">
        <f>VLOOKUP(A1024,Holidays!$A$2:$C$2107,3,1)</f>
        <v>N</v>
      </c>
    </row>
    <row r="1025" spans="1:9" x14ac:dyDescent="0.45">
      <c r="A1025" s="1">
        <v>43028</v>
      </c>
      <c r="B1025">
        <v>108412.66499999999</v>
      </c>
      <c r="C1025">
        <v>72.715846839999998</v>
      </c>
      <c r="D1025" s="2">
        <v>11.3</v>
      </c>
      <c r="E1025" s="2">
        <v>16.2</v>
      </c>
      <c r="F1025" s="2">
        <v>24</v>
      </c>
      <c r="G1025" s="2">
        <v>2.6</v>
      </c>
      <c r="H1025" s="2" t="str">
        <f>VLOOKUP(A1025,Holidays!$A$2:$B$2107,2,1)</f>
        <v>Y</v>
      </c>
      <c r="I1025" s="2" t="str">
        <f>VLOOKUP(A1025,Holidays!$A$2:$C$2107,3,1)</f>
        <v>N</v>
      </c>
    </row>
    <row r="1026" spans="1:9" x14ac:dyDescent="0.45">
      <c r="A1026" s="1">
        <v>43029</v>
      </c>
      <c r="B1026">
        <v>102195.97500000001</v>
      </c>
      <c r="C1026">
        <v>73.108339409999999</v>
      </c>
      <c r="D1026" s="2">
        <v>11</v>
      </c>
      <c r="E1026" s="2">
        <v>15.4</v>
      </c>
      <c r="F1026" s="2">
        <v>12.8</v>
      </c>
      <c r="G1026" s="2">
        <v>0</v>
      </c>
      <c r="H1026" s="2" t="str">
        <f>VLOOKUP(A1026,Holidays!$A$2:$B$2107,2,1)</f>
        <v>Y</v>
      </c>
      <c r="I1026" s="2" t="str">
        <f>VLOOKUP(A1026,Holidays!$A$2:$C$2107,3,1)</f>
        <v>N</v>
      </c>
    </row>
    <row r="1027" spans="1:9" x14ac:dyDescent="0.45">
      <c r="A1027" s="1">
        <v>43030</v>
      </c>
      <c r="B1027">
        <v>100571.04</v>
      </c>
      <c r="C1027">
        <v>76.328222569999994</v>
      </c>
      <c r="D1027" s="2">
        <v>11.1</v>
      </c>
      <c r="E1027" s="2">
        <v>16</v>
      </c>
      <c r="F1027" s="2">
        <v>13</v>
      </c>
      <c r="G1027" s="2">
        <v>0</v>
      </c>
      <c r="H1027" s="2" t="str">
        <f>VLOOKUP(A1027,Holidays!$A$2:$B$2107,2,1)</f>
        <v>Y</v>
      </c>
      <c r="I1027" s="2" t="str">
        <f>VLOOKUP(A1027,Holidays!$A$2:$C$2107,3,1)</f>
        <v>N</v>
      </c>
    </row>
    <row r="1028" spans="1:9" x14ac:dyDescent="0.45">
      <c r="A1028" s="1">
        <v>43031</v>
      </c>
      <c r="B1028">
        <v>115549.435</v>
      </c>
      <c r="C1028">
        <v>90.675665039999998</v>
      </c>
      <c r="D1028" s="2">
        <v>11.9</v>
      </c>
      <c r="E1028" s="2">
        <v>19</v>
      </c>
      <c r="F1028" s="2">
        <v>21.8</v>
      </c>
      <c r="G1028" s="2">
        <v>0</v>
      </c>
      <c r="H1028" s="2" t="str">
        <f>VLOOKUP(A1028,Holidays!$A$2:$B$2107,2,1)</f>
        <v>Y</v>
      </c>
      <c r="I1028" s="2" t="str">
        <f>VLOOKUP(A1028,Holidays!$A$2:$C$2107,3,1)</f>
        <v>N</v>
      </c>
    </row>
    <row r="1029" spans="1:9" x14ac:dyDescent="0.45">
      <c r="A1029" s="1">
        <v>43032</v>
      </c>
      <c r="B1029">
        <v>118010.31</v>
      </c>
      <c r="C1029">
        <v>91.93047541</v>
      </c>
      <c r="D1029" s="2">
        <v>12.1</v>
      </c>
      <c r="E1029" s="2">
        <v>20.5</v>
      </c>
      <c r="F1029" s="2">
        <v>18.7</v>
      </c>
      <c r="G1029" s="2">
        <v>0.2</v>
      </c>
      <c r="H1029" s="2" t="str">
        <f>VLOOKUP(A1029,Holidays!$A$2:$B$2107,2,1)</f>
        <v>Y</v>
      </c>
      <c r="I1029" s="2" t="str">
        <f>VLOOKUP(A1029,Holidays!$A$2:$C$2107,3,1)</f>
        <v>N</v>
      </c>
    </row>
    <row r="1030" spans="1:9" x14ac:dyDescent="0.45">
      <c r="A1030" s="1">
        <v>43033</v>
      </c>
      <c r="B1030">
        <v>115813.03</v>
      </c>
      <c r="C1030">
        <v>98.042415309999996</v>
      </c>
      <c r="D1030" s="2">
        <v>13.3</v>
      </c>
      <c r="E1030" s="2">
        <v>18.5</v>
      </c>
      <c r="F1030" s="2">
        <v>12.5</v>
      </c>
      <c r="G1030" s="2">
        <v>11.4</v>
      </c>
      <c r="H1030" s="2" t="str">
        <f>VLOOKUP(A1030,Holidays!$A$2:$B$2107,2,1)</f>
        <v>Y</v>
      </c>
      <c r="I1030" s="2" t="str">
        <f>VLOOKUP(A1030,Holidays!$A$2:$C$2107,3,1)</f>
        <v>N</v>
      </c>
    </row>
    <row r="1031" spans="1:9" x14ac:dyDescent="0.45">
      <c r="A1031" s="1">
        <v>43034</v>
      </c>
      <c r="B1031">
        <v>117333.44500000001</v>
      </c>
      <c r="C1031">
        <v>89.911230680000003</v>
      </c>
      <c r="D1031" s="2">
        <v>12.9</v>
      </c>
      <c r="E1031" s="2">
        <v>16.8</v>
      </c>
      <c r="F1031" s="2">
        <v>12.2</v>
      </c>
      <c r="G1031" s="2">
        <v>0.2</v>
      </c>
      <c r="H1031" s="2" t="str">
        <f>VLOOKUP(A1031,Holidays!$A$2:$B$2107,2,1)</f>
        <v>Y</v>
      </c>
      <c r="I1031" s="2" t="str">
        <f>VLOOKUP(A1031,Holidays!$A$2:$C$2107,3,1)</f>
        <v>N</v>
      </c>
    </row>
    <row r="1032" spans="1:9" x14ac:dyDescent="0.45">
      <c r="A1032" s="1">
        <v>43035</v>
      </c>
      <c r="B1032">
        <v>112633.265</v>
      </c>
      <c r="C1032">
        <v>78.660882360000002</v>
      </c>
      <c r="D1032" s="2">
        <v>10.3</v>
      </c>
      <c r="E1032" s="2">
        <v>27.4</v>
      </c>
      <c r="F1032" s="2">
        <v>26.1</v>
      </c>
      <c r="G1032" s="2">
        <v>0</v>
      </c>
      <c r="H1032" s="2" t="str">
        <f>VLOOKUP(A1032,Holidays!$A$2:$B$2107,2,1)</f>
        <v>Y</v>
      </c>
      <c r="I1032" s="2" t="str">
        <f>VLOOKUP(A1032,Holidays!$A$2:$C$2107,3,1)</f>
        <v>N</v>
      </c>
    </row>
    <row r="1033" spans="1:9" x14ac:dyDescent="0.45">
      <c r="A1033" s="1">
        <v>43036</v>
      </c>
      <c r="B1033">
        <v>100746.42</v>
      </c>
      <c r="C1033">
        <v>81.094467010000002</v>
      </c>
      <c r="D1033" s="2">
        <v>15</v>
      </c>
      <c r="E1033" s="2">
        <v>21.4</v>
      </c>
      <c r="F1033" s="2">
        <v>16.8</v>
      </c>
      <c r="G1033" s="2">
        <v>0.4</v>
      </c>
      <c r="H1033" s="2" t="str">
        <f>VLOOKUP(A1033,Holidays!$A$2:$B$2107,2,1)</f>
        <v>Y</v>
      </c>
      <c r="I1033" s="2" t="str">
        <f>VLOOKUP(A1033,Holidays!$A$2:$C$2107,3,1)</f>
        <v>N</v>
      </c>
    </row>
    <row r="1034" spans="1:9" x14ac:dyDescent="0.45">
      <c r="A1034" s="1">
        <v>43037</v>
      </c>
      <c r="B1034">
        <v>92182.955000000002</v>
      </c>
      <c r="C1034">
        <v>61.462527489999999</v>
      </c>
      <c r="D1034" s="2">
        <v>11.5</v>
      </c>
      <c r="E1034" s="2">
        <v>28.6</v>
      </c>
      <c r="F1034" s="2">
        <v>27.1</v>
      </c>
      <c r="G1034" s="2">
        <v>0</v>
      </c>
      <c r="H1034" s="2" t="str">
        <f>VLOOKUP(A1034,Holidays!$A$2:$B$2107,2,1)</f>
        <v>Y</v>
      </c>
      <c r="I1034" s="2" t="str">
        <f>VLOOKUP(A1034,Holidays!$A$2:$C$2107,3,1)</f>
        <v>N</v>
      </c>
    </row>
    <row r="1035" spans="1:9" x14ac:dyDescent="0.45">
      <c r="A1035" s="1">
        <v>43038</v>
      </c>
      <c r="B1035">
        <v>112227.65</v>
      </c>
      <c r="C1035">
        <v>77.42179007</v>
      </c>
      <c r="D1035" s="2">
        <v>8.8000000000000007</v>
      </c>
      <c r="E1035" s="2">
        <v>17</v>
      </c>
      <c r="F1035" s="2">
        <v>17</v>
      </c>
      <c r="G1035" s="2">
        <v>4.4000000000000004</v>
      </c>
      <c r="H1035" s="2" t="str">
        <f>VLOOKUP(A1035,Holidays!$A$2:$B$2107,2,1)</f>
        <v>Y</v>
      </c>
      <c r="I1035" s="2" t="str">
        <f>VLOOKUP(A1035,Holidays!$A$2:$C$2107,3,1)</f>
        <v>N</v>
      </c>
    </row>
    <row r="1036" spans="1:9" x14ac:dyDescent="0.45">
      <c r="A1036" s="1">
        <v>43039</v>
      </c>
      <c r="B1036">
        <v>116179.47</v>
      </c>
      <c r="C1036">
        <v>86.957257670000004</v>
      </c>
      <c r="D1036" s="2">
        <v>8.1</v>
      </c>
      <c r="E1036" s="2">
        <v>16.399999999999999</v>
      </c>
      <c r="F1036" s="2">
        <v>24.8</v>
      </c>
      <c r="G1036" s="2">
        <v>6</v>
      </c>
      <c r="H1036" s="2" t="str">
        <f>VLOOKUP(A1036,Holidays!$A$2:$B$2107,2,1)</f>
        <v>Y</v>
      </c>
      <c r="I1036" s="2" t="str">
        <f>VLOOKUP(A1036,Holidays!$A$2:$C$2107,3,1)</f>
        <v>N</v>
      </c>
    </row>
    <row r="1037" spans="1:9" x14ac:dyDescent="0.45">
      <c r="A1037" s="1">
        <v>43040</v>
      </c>
      <c r="B1037">
        <v>116632.09</v>
      </c>
      <c r="C1037">
        <v>87.027542560000001</v>
      </c>
      <c r="D1037" s="2">
        <v>11.9</v>
      </c>
      <c r="E1037" s="2">
        <v>18</v>
      </c>
      <c r="F1037" s="2">
        <v>14.2</v>
      </c>
      <c r="G1037" s="2">
        <v>0.4</v>
      </c>
      <c r="H1037" s="2" t="str">
        <f>VLOOKUP(A1037,Holidays!$A$2:$B$2107,2,1)</f>
        <v>Y</v>
      </c>
      <c r="I1037" s="2" t="str">
        <f>VLOOKUP(A1037,Holidays!$A$2:$C$2107,3,1)</f>
        <v>N</v>
      </c>
    </row>
    <row r="1038" spans="1:9" x14ac:dyDescent="0.45">
      <c r="A1038" s="1">
        <v>43041</v>
      </c>
      <c r="B1038">
        <v>120470.785</v>
      </c>
      <c r="C1038">
        <v>87.510162679999993</v>
      </c>
      <c r="D1038" s="2">
        <v>11.3</v>
      </c>
      <c r="E1038" s="2">
        <v>17.399999999999999</v>
      </c>
      <c r="F1038" s="2">
        <v>17</v>
      </c>
      <c r="G1038" s="2">
        <v>1.4</v>
      </c>
      <c r="H1038" s="2" t="str">
        <f>VLOOKUP(A1038,Holidays!$A$2:$B$2107,2,1)</f>
        <v>Y</v>
      </c>
      <c r="I1038" s="2" t="str">
        <f>VLOOKUP(A1038,Holidays!$A$2:$C$2107,3,1)</f>
        <v>N</v>
      </c>
    </row>
    <row r="1039" spans="1:9" x14ac:dyDescent="0.45">
      <c r="A1039" s="1">
        <v>43042</v>
      </c>
      <c r="B1039">
        <v>113451.995</v>
      </c>
      <c r="C1039">
        <v>76.925848950000002</v>
      </c>
      <c r="D1039" s="2">
        <v>9.4</v>
      </c>
      <c r="E1039" s="2">
        <v>16.600000000000001</v>
      </c>
      <c r="F1039" s="2">
        <v>20.5</v>
      </c>
      <c r="G1039" s="2">
        <v>1.4</v>
      </c>
      <c r="H1039" s="2" t="str">
        <f>VLOOKUP(A1039,Holidays!$A$2:$B$2107,2,1)</f>
        <v>Y</v>
      </c>
      <c r="I1039" s="2" t="str">
        <f>VLOOKUP(A1039,Holidays!$A$2:$C$2107,3,1)</f>
        <v>N</v>
      </c>
    </row>
    <row r="1040" spans="1:9" x14ac:dyDescent="0.45">
      <c r="A1040" s="1">
        <v>43043</v>
      </c>
      <c r="B1040">
        <v>101610.815</v>
      </c>
      <c r="C1040">
        <v>78.734581890000001</v>
      </c>
      <c r="D1040" s="2">
        <v>8.3000000000000007</v>
      </c>
      <c r="E1040" s="2">
        <v>15.8</v>
      </c>
      <c r="F1040" s="2">
        <v>24.6</v>
      </c>
      <c r="G1040" s="2">
        <v>0.4</v>
      </c>
      <c r="H1040" s="2" t="str">
        <f>VLOOKUP(A1040,Holidays!$A$2:$B$2107,2,1)</f>
        <v>Y</v>
      </c>
      <c r="I1040" s="2" t="str">
        <f>VLOOKUP(A1040,Holidays!$A$2:$C$2107,3,1)</f>
        <v>N</v>
      </c>
    </row>
    <row r="1041" spans="1:9" x14ac:dyDescent="0.45">
      <c r="A1041" s="1">
        <v>43044</v>
      </c>
      <c r="B1041">
        <v>95368.164999999994</v>
      </c>
      <c r="C1041">
        <v>77.636602679999996</v>
      </c>
      <c r="D1041" s="2">
        <v>6.4</v>
      </c>
      <c r="E1041" s="2">
        <v>17.600000000000001</v>
      </c>
      <c r="F1041" s="2">
        <v>24.1</v>
      </c>
      <c r="G1041" s="2">
        <v>0</v>
      </c>
      <c r="H1041" s="2" t="str">
        <f>VLOOKUP(A1041,Holidays!$A$2:$B$2107,2,1)</f>
        <v>Y</v>
      </c>
      <c r="I1041" s="2" t="str">
        <f>VLOOKUP(A1041,Holidays!$A$2:$C$2107,3,1)</f>
        <v>N</v>
      </c>
    </row>
    <row r="1042" spans="1:9" x14ac:dyDescent="0.45">
      <c r="A1042" s="1">
        <v>43045</v>
      </c>
      <c r="B1042">
        <v>104632.79</v>
      </c>
      <c r="C1042">
        <v>80.934221030000003</v>
      </c>
      <c r="D1042" s="2">
        <v>10.9</v>
      </c>
      <c r="E1042" s="2">
        <v>16.100000000000001</v>
      </c>
      <c r="F1042" s="2">
        <v>18.899999999999999</v>
      </c>
      <c r="G1042" s="2">
        <v>0</v>
      </c>
      <c r="H1042" s="2" t="str">
        <f>VLOOKUP(A1042,Holidays!$A$2:$B$2107,2,1)</f>
        <v>Y</v>
      </c>
      <c r="I1042" s="2" t="str">
        <f>VLOOKUP(A1042,Holidays!$A$2:$C$2107,3,1)</f>
        <v>N</v>
      </c>
    </row>
    <row r="1043" spans="1:9" x14ac:dyDescent="0.45">
      <c r="A1043" s="1">
        <v>43046</v>
      </c>
      <c r="B1043">
        <v>100592.295</v>
      </c>
      <c r="C1043">
        <v>78.317766300000002</v>
      </c>
      <c r="D1043" s="2">
        <v>10</v>
      </c>
      <c r="E1043" s="2">
        <v>15.8</v>
      </c>
      <c r="F1043" s="2">
        <v>18.8</v>
      </c>
      <c r="G1043" s="2">
        <v>3.4</v>
      </c>
      <c r="H1043" s="2" t="str">
        <f>VLOOKUP(A1043,Holidays!$A$2:$B$2107,2,1)</f>
        <v>Y</v>
      </c>
      <c r="I1043" s="2" t="str">
        <f>VLOOKUP(A1043,Holidays!$A$2:$C$2107,3,1)</f>
        <v>Y</v>
      </c>
    </row>
    <row r="1044" spans="1:9" x14ac:dyDescent="0.45">
      <c r="A1044" s="1">
        <v>43047</v>
      </c>
      <c r="B1044">
        <v>111738.485</v>
      </c>
      <c r="C1044">
        <v>90.995755090000003</v>
      </c>
      <c r="D1044" s="2">
        <v>12.1</v>
      </c>
      <c r="E1044" s="2">
        <v>16.899999999999999</v>
      </c>
      <c r="F1044" s="2">
        <v>25.4</v>
      </c>
      <c r="G1044" s="2">
        <v>0</v>
      </c>
      <c r="H1044" s="2" t="str">
        <f>VLOOKUP(A1044,Holidays!$A$2:$B$2107,2,1)</f>
        <v>Y</v>
      </c>
      <c r="I1044" s="2" t="str">
        <f>VLOOKUP(A1044,Holidays!$A$2:$C$2107,3,1)</f>
        <v>N</v>
      </c>
    </row>
    <row r="1045" spans="1:9" x14ac:dyDescent="0.45">
      <c r="A1045" s="1">
        <v>43048</v>
      </c>
      <c r="B1045">
        <v>113539.935</v>
      </c>
      <c r="C1045">
        <v>85.582594670000006</v>
      </c>
      <c r="D1045" s="2">
        <v>8.6999999999999993</v>
      </c>
      <c r="E1045" s="2">
        <v>21.8</v>
      </c>
      <c r="F1045" s="2">
        <v>28.8</v>
      </c>
      <c r="G1045" s="2">
        <v>0</v>
      </c>
      <c r="H1045" s="2" t="str">
        <f>VLOOKUP(A1045,Holidays!$A$2:$B$2107,2,1)</f>
        <v>Y</v>
      </c>
      <c r="I1045" s="2" t="str">
        <f>VLOOKUP(A1045,Holidays!$A$2:$C$2107,3,1)</f>
        <v>N</v>
      </c>
    </row>
    <row r="1046" spans="1:9" x14ac:dyDescent="0.45">
      <c r="A1046" s="1">
        <v>43049</v>
      </c>
      <c r="B1046">
        <v>115156.44500000001</v>
      </c>
      <c r="C1046">
        <v>92.615536950000006</v>
      </c>
      <c r="D1046" s="2">
        <v>12.1</v>
      </c>
      <c r="E1046" s="2">
        <v>27.2</v>
      </c>
      <c r="F1046" s="2">
        <v>23.7</v>
      </c>
      <c r="G1046" s="2">
        <v>0</v>
      </c>
      <c r="H1046" s="2" t="str">
        <f>VLOOKUP(A1046,Holidays!$A$2:$B$2107,2,1)</f>
        <v>Y</v>
      </c>
      <c r="I1046" s="2" t="str">
        <f>VLOOKUP(A1046,Holidays!$A$2:$C$2107,3,1)</f>
        <v>N</v>
      </c>
    </row>
    <row r="1047" spans="1:9" x14ac:dyDescent="0.45">
      <c r="A1047" s="1">
        <v>43050</v>
      </c>
      <c r="B1047">
        <v>104194.345</v>
      </c>
      <c r="C1047">
        <v>83.494939239999994</v>
      </c>
      <c r="D1047" s="2">
        <v>14.8</v>
      </c>
      <c r="E1047" s="2">
        <v>24.7</v>
      </c>
      <c r="F1047" s="2">
        <v>28.8</v>
      </c>
      <c r="G1047" s="2">
        <v>0</v>
      </c>
      <c r="H1047" s="2" t="str">
        <f>VLOOKUP(A1047,Holidays!$A$2:$B$2107,2,1)</f>
        <v>Y</v>
      </c>
      <c r="I1047" s="2" t="str">
        <f>VLOOKUP(A1047,Holidays!$A$2:$C$2107,3,1)</f>
        <v>N</v>
      </c>
    </row>
    <row r="1048" spans="1:9" x14ac:dyDescent="0.45">
      <c r="A1048" s="1">
        <v>43051</v>
      </c>
      <c r="B1048">
        <v>98774.235000000001</v>
      </c>
      <c r="C1048">
        <v>73.950064819999994</v>
      </c>
      <c r="D1048" s="2">
        <v>13.2</v>
      </c>
      <c r="E1048" s="2">
        <v>23.3</v>
      </c>
      <c r="F1048" s="2">
        <v>25</v>
      </c>
      <c r="G1048" s="2">
        <v>0</v>
      </c>
      <c r="H1048" s="2" t="str">
        <f>VLOOKUP(A1048,Holidays!$A$2:$B$2107,2,1)</f>
        <v>Y</v>
      </c>
      <c r="I1048" s="2" t="str">
        <f>VLOOKUP(A1048,Holidays!$A$2:$C$2107,3,1)</f>
        <v>N</v>
      </c>
    </row>
    <row r="1049" spans="1:9" x14ac:dyDescent="0.45">
      <c r="A1049" s="1">
        <v>43052</v>
      </c>
      <c r="B1049">
        <v>125795.84</v>
      </c>
      <c r="C1049">
        <v>102.5536814</v>
      </c>
      <c r="D1049" s="2">
        <v>13.7</v>
      </c>
      <c r="E1049" s="2">
        <v>33</v>
      </c>
      <c r="F1049" s="2">
        <v>29.5</v>
      </c>
      <c r="G1049" s="2">
        <v>0</v>
      </c>
      <c r="H1049" s="2" t="str">
        <f>VLOOKUP(A1049,Holidays!$A$2:$B$2107,2,1)</f>
        <v>Y</v>
      </c>
      <c r="I1049" s="2" t="str">
        <f>VLOOKUP(A1049,Holidays!$A$2:$C$2107,3,1)</f>
        <v>N</v>
      </c>
    </row>
    <row r="1050" spans="1:9" x14ac:dyDescent="0.45">
      <c r="A1050" s="1">
        <v>43053</v>
      </c>
      <c r="B1050">
        <v>135420.82</v>
      </c>
      <c r="C1050">
        <v>94.731684869999995</v>
      </c>
      <c r="D1050" s="2">
        <v>18.2</v>
      </c>
      <c r="E1050" s="2">
        <v>33.9</v>
      </c>
      <c r="F1050" s="2">
        <v>29.5</v>
      </c>
      <c r="G1050" s="2">
        <v>0</v>
      </c>
      <c r="H1050" s="2" t="str">
        <f>VLOOKUP(A1050,Holidays!$A$2:$B$2107,2,1)</f>
        <v>Y</v>
      </c>
      <c r="I1050" s="2" t="str">
        <f>VLOOKUP(A1050,Holidays!$A$2:$C$2107,3,1)</f>
        <v>N</v>
      </c>
    </row>
    <row r="1051" spans="1:9" x14ac:dyDescent="0.45">
      <c r="A1051" s="1">
        <v>43054</v>
      </c>
      <c r="B1051">
        <v>130385.05</v>
      </c>
      <c r="C1051">
        <v>90.97415977</v>
      </c>
      <c r="D1051" s="2">
        <v>21.5</v>
      </c>
      <c r="E1051" s="2">
        <v>31.4</v>
      </c>
      <c r="F1051" s="2">
        <v>16.899999999999999</v>
      </c>
      <c r="G1051" s="2">
        <v>0</v>
      </c>
      <c r="H1051" s="2" t="str">
        <f>VLOOKUP(A1051,Holidays!$A$2:$B$2107,2,1)</f>
        <v>Y</v>
      </c>
      <c r="I1051" s="2" t="str">
        <f>VLOOKUP(A1051,Holidays!$A$2:$C$2107,3,1)</f>
        <v>N</v>
      </c>
    </row>
    <row r="1052" spans="1:9" x14ac:dyDescent="0.45">
      <c r="A1052" s="1">
        <v>43055</v>
      </c>
      <c r="B1052">
        <v>116715.965</v>
      </c>
      <c r="C1052">
        <v>88.816107369999997</v>
      </c>
      <c r="D1052" s="2">
        <v>18.100000000000001</v>
      </c>
      <c r="E1052" s="2">
        <v>21.3</v>
      </c>
      <c r="F1052" s="2">
        <v>4.8</v>
      </c>
      <c r="G1052" s="2">
        <v>3.6</v>
      </c>
      <c r="H1052" s="2" t="str">
        <f>VLOOKUP(A1052,Holidays!$A$2:$B$2107,2,1)</f>
        <v>Y</v>
      </c>
      <c r="I1052" s="2" t="str">
        <f>VLOOKUP(A1052,Holidays!$A$2:$C$2107,3,1)</f>
        <v>N</v>
      </c>
    </row>
    <row r="1053" spans="1:9" x14ac:dyDescent="0.45">
      <c r="A1053" s="1">
        <v>43056</v>
      </c>
      <c r="B1053">
        <v>117797.62</v>
      </c>
      <c r="C1053">
        <v>99.446276760000003</v>
      </c>
      <c r="D1053" s="2">
        <v>16.399999999999999</v>
      </c>
      <c r="E1053" s="2">
        <v>26.8</v>
      </c>
      <c r="F1053" s="2">
        <v>22.9</v>
      </c>
      <c r="G1053" s="2">
        <v>4.2</v>
      </c>
      <c r="H1053" s="2" t="str">
        <f>VLOOKUP(A1053,Holidays!$A$2:$B$2107,2,1)</f>
        <v>Y</v>
      </c>
      <c r="I1053" s="2" t="str">
        <f>VLOOKUP(A1053,Holidays!$A$2:$C$2107,3,1)</f>
        <v>N</v>
      </c>
    </row>
    <row r="1054" spans="1:9" x14ac:dyDescent="0.45">
      <c r="A1054" s="1">
        <v>43057</v>
      </c>
      <c r="B1054">
        <v>106730.21</v>
      </c>
      <c r="C1054">
        <v>89.770277660000005</v>
      </c>
      <c r="D1054" s="2">
        <v>16.100000000000001</v>
      </c>
      <c r="E1054" s="2">
        <v>28.1</v>
      </c>
      <c r="F1054" s="2">
        <v>20.100000000000001</v>
      </c>
      <c r="G1054" s="2">
        <v>0</v>
      </c>
      <c r="H1054" s="2" t="str">
        <f>VLOOKUP(A1054,Holidays!$A$2:$B$2107,2,1)</f>
        <v>Y</v>
      </c>
      <c r="I1054" s="2" t="str">
        <f>VLOOKUP(A1054,Holidays!$A$2:$C$2107,3,1)</f>
        <v>N</v>
      </c>
    </row>
    <row r="1055" spans="1:9" x14ac:dyDescent="0.45">
      <c r="A1055" s="1">
        <v>43058</v>
      </c>
      <c r="B1055">
        <v>101256.78</v>
      </c>
      <c r="C1055">
        <v>81.881314270000004</v>
      </c>
      <c r="D1055" s="2">
        <v>15.1</v>
      </c>
      <c r="E1055" s="2">
        <v>29.3</v>
      </c>
      <c r="F1055" s="2">
        <v>27.5</v>
      </c>
      <c r="G1055" s="2">
        <v>24.8</v>
      </c>
      <c r="H1055" s="2" t="str">
        <f>VLOOKUP(A1055,Holidays!$A$2:$B$2107,2,1)</f>
        <v>Y</v>
      </c>
      <c r="I1055" s="2" t="str">
        <f>VLOOKUP(A1055,Holidays!$A$2:$C$2107,3,1)</f>
        <v>N</v>
      </c>
    </row>
    <row r="1056" spans="1:9" x14ac:dyDescent="0.45">
      <c r="A1056" s="1">
        <v>43059</v>
      </c>
      <c r="B1056">
        <v>128658.27</v>
      </c>
      <c r="C1056">
        <v>131.30094130000001</v>
      </c>
      <c r="D1056" s="2">
        <v>16.600000000000001</v>
      </c>
      <c r="E1056" s="2">
        <v>30.8</v>
      </c>
      <c r="F1056" s="2">
        <v>28.6</v>
      </c>
      <c r="G1056" s="2">
        <v>0</v>
      </c>
      <c r="H1056" s="2" t="str">
        <f>VLOOKUP(A1056,Holidays!$A$2:$B$2107,2,1)</f>
        <v>Y</v>
      </c>
      <c r="I1056" s="2" t="str">
        <f>VLOOKUP(A1056,Holidays!$A$2:$C$2107,3,1)</f>
        <v>N</v>
      </c>
    </row>
    <row r="1057" spans="1:9" x14ac:dyDescent="0.45">
      <c r="A1057" s="1">
        <v>43060</v>
      </c>
      <c r="B1057">
        <v>137151.495</v>
      </c>
      <c r="C1057">
        <v>152.7547663</v>
      </c>
      <c r="D1057" s="2">
        <v>17.8</v>
      </c>
      <c r="E1057" s="2">
        <v>32.9</v>
      </c>
      <c r="F1057" s="2">
        <v>29.5</v>
      </c>
      <c r="G1057" s="2">
        <v>0</v>
      </c>
      <c r="H1057" s="2" t="str">
        <f>VLOOKUP(A1057,Holidays!$A$2:$B$2107,2,1)</f>
        <v>Y</v>
      </c>
      <c r="I1057" s="2" t="str">
        <f>VLOOKUP(A1057,Holidays!$A$2:$C$2107,3,1)</f>
        <v>N</v>
      </c>
    </row>
    <row r="1058" spans="1:9" x14ac:dyDescent="0.45">
      <c r="A1058" s="1">
        <v>43061</v>
      </c>
      <c r="B1058">
        <v>138882.25</v>
      </c>
      <c r="C1058">
        <v>116.8798367</v>
      </c>
      <c r="D1058" s="2">
        <v>18.7</v>
      </c>
      <c r="E1058" s="2">
        <v>32.6</v>
      </c>
      <c r="F1058" s="2">
        <v>30.6</v>
      </c>
      <c r="G1058" s="2">
        <v>0</v>
      </c>
      <c r="H1058" s="2" t="str">
        <f>VLOOKUP(A1058,Holidays!$A$2:$B$2107,2,1)</f>
        <v>Y</v>
      </c>
      <c r="I1058" s="2" t="str">
        <f>VLOOKUP(A1058,Holidays!$A$2:$C$2107,3,1)</f>
        <v>N</v>
      </c>
    </row>
    <row r="1059" spans="1:9" x14ac:dyDescent="0.45">
      <c r="A1059" s="1">
        <v>43062</v>
      </c>
      <c r="B1059">
        <v>135162.11499999999</v>
      </c>
      <c r="C1059">
        <v>105.2716657</v>
      </c>
      <c r="D1059" s="2">
        <v>16.2</v>
      </c>
      <c r="E1059" s="2">
        <v>31.9</v>
      </c>
      <c r="F1059" s="2">
        <v>18.899999999999999</v>
      </c>
      <c r="G1059" s="2">
        <v>0</v>
      </c>
      <c r="H1059" s="2" t="str">
        <f>VLOOKUP(A1059,Holidays!$A$2:$B$2107,2,1)</f>
        <v>Y</v>
      </c>
      <c r="I1059" s="2" t="str">
        <f>VLOOKUP(A1059,Holidays!$A$2:$C$2107,3,1)</f>
        <v>N</v>
      </c>
    </row>
    <row r="1060" spans="1:9" x14ac:dyDescent="0.45">
      <c r="A1060" s="1">
        <v>43063</v>
      </c>
      <c r="B1060">
        <v>133951.29</v>
      </c>
      <c r="C1060">
        <v>116.56179090000001</v>
      </c>
      <c r="D1060" s="2">
        <v>18.600000000000001</v>
      </c>
      <c r="E1060" s="2">
        <v>30.7</v>
      </c>
      <c r="F1060" s="2">
        <v>13.8</v>
      </c>
      <c r="G1060" s="2">
        <v>1</v>
      </c>
      <c r="H1060" s="2" t="str">
        <f>VLOOKUP(A1060,Holidays!$A$2:$B$2107,2,1)</f>
        <v>Y</v>
      </c>
      <c r="I1060" s="2" t="str">
        <f>VLOOKUP(A1060,Holidays!$A$2:$C$2107,3,1)</f>
        <v>N</v>
      </c>
    </row>
    <row r="1061" spans="1:9" x14ac:dyDescent="0.45">
      <c r="A1061" s="1">
        <v>43064</v>
      </c>
      <c r="B1061">
        <v>121219.595</v>
      </c>
      <c r="C1061">
        <v>99.010420740000001</v>
      </c>
      <c r="D1061" s="2">
        <v>19.3</v>
      </c>
      <c r="E1061" s="2">
        <v>32.5</v>
      </c>
      <c r="F1061" s="2">
        <v>17</v>
      </c>
      <c r="G1061" s="2">
        <v>0.4</v>
      </c>
      <c r="H1061" s="2" t="str">
        <f>VLOOKUP(A1061,Holidays!$A$2:$B$2107,2,1)</f>
        <v>Y</v>
      </c>
      <c r="I1061" s="2" t="str">
        <f>VLOOKUP(A1061,Holidays!$A$2:$C$2107,3,1)</f>
        <v>N</v>
      </c>
    </row>
    <row r="1062" spans="1:9" x14ac:dyDescent="0.45">
      <c r="A1062" s="1">
        <v>43065</v>
      </c>
      <c r="B1062">
        <v>108717.875</v>
      </c>
      <c r="C1062">
        <v>83.114514119999996</v>
      </c>
      <c r="D1062" s="2">
        <v>19.399999999999999</v>
      </c>
      <c r="E1062" s="2">
        <v>28.3</v>
      </c>
      <c r="G1062" s="2">
        <v>3.4</v>
      </c>
      <c r="H1062" s="2" t="str">
        <f>VLOOKUP(A1062,Holidays!$A$2:$B$2107,2,1)</f>
        <v>Y</v>
      </c>
      <c r="I1062" s="2" t="str">
        <f>VLOOKUP(A1062,Holidays!$A$2:$C$2107,3,1)</f>
        <v>N</v>
      </c>
    </row>
    <row r="1063" spans="1:9" x14ac:dyDescent="0.45">
      <c r="A1063" s="1">
        <v>43066</v>
      </c>
      <c r="B1063">
        <v>115429.005</v>
      </c>
      <c r="C1063">
        <v>84.608923149999995</v>
      </c>
      <c r="D1063" s="2">
        <v>16.5</v>
      </c>
      <c r="E1063" s="2">
        <v>21.2</v>
      </c>
      <c r="F1063" s="2">
        <v>20.5</v>
      </c>
      <c r="G1063" s="2">
        <v>1.4</v>
      </c>
      <c r="H1063" s="2" t="str">
        <f>VLOOKUP(A1063,Holidays!$A$2:$B$2107,2,1)</f>
        <v>Y</v>
      </c>
      <c r="I1063" s="2" t="str">
        <f>VLOOKUP(A1063,Holidays!$A$2:$C$2107,3,1)</f>
        <v>N</v>
      </c>
    </row>
    <row r="1064" spans="1:9" x14ac:dyDescent="0.45">
      <c r="A1064" s="1">
        <v>43067</v>
      </c>
      <c r="B1064">
        <v>129798.47</v>
      </c>
      <c r="C1064">
        <v>130.50196869999999</v>
      </c>
      <c r="D1064" s="2">
        <v>13.7</v>
      </c>
      <c r="E1064" s="2">
        <v>31</v>
      </c>
      <c r="F1064" s="2">
        <v>31.1</v>
      </c>
      <c r="G1064" s="2">
        <v>0.2</v>
      </c>
      <c r="H1064" s="2" t="str">
        <f>VLOOKUP(A1064,Holidays!$A$2:$B$2107,2,1)</f>
        <v>Y</v>
      </c>
      <c r="I1064" s="2" t="str">
        <f>VLOOKUP(A1064,Holidays!$A$2:$C$2107,3,1)</f>
        <v>N</v>
      </c>
    </row>
    <row r="1065" spans="1:9" x14ac:dyDescent="0.45">
      <c r="A1065" s="1">
        <v>43068</v>
      </c>
      <c r="B1065">
        <v>151730.95000000001</v>
      </c>
      <c r="C1065">
        <v>166.55264679999999</v>
      </c>
      <c r="D1065" s="2">
        <v>18.5</v>
      </c>
      <c r="E1065" s="2">
        <v>35.799999999999997</v>
      </c>
      <c r="F1065" s="2">
        <v>28.3</v>
      </c>
      <c r="G1065" s="2">
        <v>0</v>
      </c>
      <c r="H1065" s="2" t="str">
        <f>VLOOKUP(A1065,Holidays!$A$2:$B$2107,2,1)</f>
        <v>Y</v>
      </c>
      <c r="I1065" s="2" t="str">
        <f>VLOOKUP(A1065,Holidays!$A$2:$C$2107,3,1)</f>
        <v>N</v>
      </c>
    </row>
    <row r="1066" spans="1:9" x14ac:dyDescent="0.45">
      <c r="A1066" s="1">
        <v>43069</v>
      </c>
      <c r="B1066">
        <v>154632.33499999999</v>
      </c>
      <c r="C1066">
        <v>131.4914339</v>
      </c>
      <c r="D1066" s="2">
        <v>22.5</v>
      </c>
      <c r="E1066" s="2">
        <v>34.9</v>
      </c>
      <c r="F1066" s="2">
        <v>23.1</v>
      </c>
      <c r="G1066" s="2">
        <v>0</v>
      </c>
      <c r="H1066" s="2" t="str">
        <f>VLOOKUP(A1066,Holidays!$A$2:$B$2107,2,1)</f>
        <v>Y</v>
      </c>
      <c r="I1066" s="2" t="str">
        <f>VLOOKUP(A1066,Holidays!$A$2:$C$2107,3,1)</f>
        <v>N</v>
      </c>
    </row>
    <row r="1067" spans="1:9" x14ac:dyDescent="0.45">
      <c r="A1067" s="1">
        <v>43070</v>
      </c>
      <c r="B1067">
        <v>125141.9</v>
      </c>
      <c r="C1067">
        <v>87.152295949999996</v>
      </c>
      <c r="D1067" s="2">
        <v>21.5</v>
      </c>
      <c r="E1067" s="2">
        <v>23.5</v>
      </c>
      <c r="F1067" s="2">
        <v>1.6</v>
      </c>
      <c r="G1067" s="2">
        <v>1.8</v>
      </c>
      <c r="H1067" s="2" t="str">
        <f>VLOOKUP(A1067,Holidays!$A$2:$B$2107,2,1)</f>
        <v>Y</v>
      </c>
      <c r="I1067" s="2" t="str">
        <f>VLOOKUP(A1067,Holidays!$A$2:$C$2107,3,1)</f>
        <v>N</v>
      </c>
    </row>
    <row r="1068" spans="1:9" x14ac:dyDescent="0.45">
      <c r="A1068" s="1">
        <v>43071</v>
      </c>
      <c r="B1068">
        <v>99234.22</v>
      </c>
      <c r="C1068">
        <v>66.255858649999993</v>
      </c>
      <c r="D1068" s="2">
        <v>14.7</v>
      </c>
      <c r="E1068" s="2">
        <v>16.399999999999999</v>
      </c>
      <c r="F1068" s="2">
        <v>0.7</v>
      </c>
      <c r="G1068" s="2">
        <v>20.6</v>
      </c>
      <c r="H1068" s="2" t="str">
        <f>VLOOKUP(A1068,Holidays!$A$2:$B$2107,2,1)</f>
        <v>Y</v>
      </c>
      <c r="I1068" s="2" t="str">
        <f>VLOOKUP(A1068,Holidays!$A$2:$C$2107,3,1)</f>
        <v>N</v>
      </c>
    </row>
    <row r="1069" spans="1:9" x14ac:dyDescent="0.45">
      <c r="A1069" s="1">
        <v>43072</v>
      </c>
      <c r="B1069">
        <v>92487.705000000002</v>
      </c>
      <c r="C1069">
        <v>67.758066369999995</v>
      </c>
      <c r="D1069" s="2">
        <v>11.5</v>
      </c>
      <c r="E1069" s="2">
        <v>17.100000000000001</v>
      </c>
      <c r="F1069" s="2">
        <v>14.4</v>
      </c>
      <c r="G1069" s="2">
        <v>43.8</v>
      </c>
      <c r="H1069" s="2" t="str">
        <f>VLOOKUP(A1069,Holidays!$A$2:$B$2107,2,1)</f>
        <v>Y</v>
      </c>
      <c r="I1069" s="2" t="str">
        <f>VLOOKUP(A1069,Holidays!$A$2:$C$2107,3,1)</f>
        <v>N</v>
      </c>
    </row>
    <row r="1070" spans="1:9" x14ac:dyDescent="0.45">
      <c r="A1070" s="1">
        <v>43073</v>
      </c>
      <c r="B1070">
        <v>111625.98</v>
      </c>
      <c r="C1070">
        <v>84.041757820000001</v>
      </c>
      <c r="D1070" s="2">
        <v>12.4</v>
      </c>
      <c r="E1070" s="2">
        <v>17.5</v>
      </c>
      <c r="F1070" s="2">
        <v>7.9</v>
      </c>
      <c r="G1070" s="2">
        <v>5.4</v>
      </c>
      <c r="H1070" s="2" t="str">
        <f>VLOOKUP(A1070,Holidays!$A$2:$B$2107,2,1)</f>
        <v>Y</v>
      </c>
      <c r="I1070" s="2" t="str">
        <f>VLOOKUP(A1070,Holidays!$A$2:$C$2107,3,1)</f>
        <v>N</v>
      </c>
    </row>
    <row r="1071" spans="1:9" x14ac:dyDescent="0.45">
      <c r="A1071" s="1">
        <v>43074</v>
      </c>
      <c r="B1071">
        <v>113063.675</v>
      </c>
      <c r="C1071">
        <v>82.842057909999994</v>
      </c>
      <c r="D1071" s="2">
        <v>10.8</v>
      </c>
      <c r="E1071" s="2">
        <v>22.8</v>
      </c>
      <c r="F1071" s="2">
        <v>22.9</v>
      </c>
      <c r="G1071" s="2">
        <v>1.8</v>
      </c>
      <c r="H1071" s="2" t="str">
        <f>VLOOKUP(A1071,Holidays!$A$2:$B$2107,2,1)</f>
        <v>Y</v>
      </c>
      <c r="I1071" s="2" t="str">
        <f>VLOOKUP(A1071,Holidays!$A$2:$C$2107,3,1)</f>
        <v>N</v>
      </c>
    </row>
    <row r="1072" spans="1:9" x14ac:dyDescent="0.45">
      <c r="A1072" s="1">
        <v>43075</v>
      </c>
      <c r="B1072">
        <v>115383.13</v>
      </c>
      <c r="C1072">
        <v>89.564050550000005</v>
      </c>
      <c r="D1072" s="2">
        <v>13.6</v>
      </c>
      <c r="E1072" s="2">
        <v>21.3</v>
      </c>
      <c r="F1072" s="2">
        <v>23.6</v>
      </c>
      <c r="G1072" s="2">
        <v>0</v>
      </c>
      <c r="H1072" s="2" t="str">
        <f>VLOOKUP(A1072,Holidays!$A$2:$B$2107,2,1)</f>
        <v>Y</v>
      </c>
      <c r="I1072" s="2" t="str">
        <f>VLOOKUP(A1072,Holidays!$A$2:$C$2107,3,1)</f>
        <v>N</v>
      </c>
    </row>
    <row r="1073" spans="1:9" x14ac:dyDescent="0.45">
      <c r="A1073" s="1">
        <v>43076</v>
      </c>
      <c r="B1073">
        <v>115736.97</v>
      </c>
      <c r="C1073">
        <v>102.5919318</v>
      </c>
      <c r="D1073" s="2">
        <v>11.6</v>
      </c>
      <c r="E1073" s="2">
        <v>21.9</v>
      </c>
      <c r="F1073" s="2">
        <v>19.8</v>
      </c>
      <c r="G1073" s="2">
        <v>0</v>
      </c>
      <c r="H1073" s="2" t="str">
        <f>VLOOKUP(A1073,Holidays!$A$2:$B$2107,2,1)</f>
        <v>Y</v>
      </c>
      <c r="I1073" s="2" t="str">
        <f>VLOOKUP(A1073,Holidays!$A$2:$C$2107,3,1)</f>
        <v>N</v>
      </c>
    </row>
    <row r="1074" spans="1:9" x14ac:dyDescent="0.45">
      <c r="A1074" s="1">
        <v>43077</v>
      </c>
      <c r="B1074">
        <v>109568.47</v>
      </c>
      <c r="C1074">
        <v>87.467721979999993</v>
      </c>
      <c r="D1074" s="2">
        <v>11.4</v>
      </c>
      <c r="E1074" s="2">
        <v>18.7</v>
      </c>
      <c r="F1074" s="2">
        <v>28.5</v>
      </c>
      <c r="G1074" s="2">
        <v>25.2</v>
      </c>
      <c r="H1074" s="2" t="str">
        <f>VLOOKUP(A1074,Holidays!$A$2:$B$2107,2,1)</f>
        <v>Y</v>
      </c>
      <c r="I1074" s="2" t="str">
        <f>VLOOKUP(A1074,Holidays!$A$2:$C$2107,3,1)</f>
        <v>N</v>
      </c>
    </row>
    <row r="1075" spans="1:9" x14ac:dyDescent="0.45">
      <c r="A1075" s="1">
        <v>43078</v>
      </c>
      <c r="B1075">
        <v>99334.8</v>
      </c>
      <c r="C1075">
        <v>82.980837530000002</v>
      </c>
      <c r="D1075" s="2">
        <v>12.7</v>
      </c>
      <c r="E1075" s="2">
        <v>23</v>
      </c>
      <c r="F1075" s="2">
        <v>19.2</v>
      </c>
      <c r="G1075" s="2">
        <v>0</v>
      </c>
      <c r="H1075" s="2" t="str">
        <f>VLOOKUP(A1075,Holidays!$A$2:$B$2107,2,1)</f>
        <v>Y</v>
      </c>
      <c r="I1075" s="2" t="str">
        <f>VLOOKUP(A1075,Holidays!$A$2:$C$2107,3,1)</f>
        <v>N</v>
      </c>
    </row>
    <row r="1076" spans="1:9" x14ac:dyDescent="0.45">
      <c r="A1076" s="1">
        <v>43079</v>
      </c>
      <c r="B1076">
        <v>97715.01</v>
      </c>
      <c r="C1076">
        <v>81.089163600000006</v>
      </c>
      <c r="D1076" s="2">
        <v>14.5</v>
      </c>
      <c r="E1076" s="2">
        <v>22.2</v>
      </c>
      <c r="F1076" s="2">
        <v>31.4</v>
      </c>
      <c r="G1076" s="2">
        <v>0</v>
      </c>
      <c r="H1076" s="2" t="str">
        <f>VLOOKUP(A1076,Holidays!$A$2:$B$2107,2,1)</f>
        <v>Y</v>
      </c>
      <c r="I1076" s="2" t="str">
        <f>VLOOKUP(A1076,Holidays!$A$2:$C$2107,3,1)</f>
        <v>N</v>
      </c>
    </row>
    <row r="1077" spans="1:9" x14ac:dyDescent="0.45">
      <c r="A1077" s="1">
        <v>43080</v>
      </c>
      <c r="B1077">
        <v>114680.185</v>
      </c>
      <c r="C1077">
        <v>97.605395759999993</v>
      </c>
      <c r="D1077" s="2">
        <v>16.399999999999999</v>
      </c>
      <c r="E1077" s="2">
        <v>20.7</v>
      </c>
      <c r="F1077" s="2">
        <v>26.3</v>
      </c>
      <c r="G1077" s="2">
        <v>0</v>
      </c>
      <c r="H1077" s="2" t="str">
        <f>VLOOKUP(A1077,Holidays!$A$2:$B$2107,2,1)</f>
        <v>Y</v>
      </c>
      <c r="I1077" s="2" t="str">
        <f>VLOOKUP(A1077,Holidays!$A$2:$C$2107,3,1)</f>
        <v>N</v>
      </c>
    </row>
    <row r="1078" spans="1:9" x14ac:dyDescent="0.45">
      <c r="A1078" s="1">
        <v>43081</v>
      </c>
      <c r="B1078">
        <v>121945.175</v>
      </c>
      <c r="C1078">
        <v>104.9958379</v>
      </c>
      <c r="D1078" s="2">
        <v>15.8</v>
      </c>
      <c r="E1078" s="2">
        <v>26.4</v>
      </c>
      <c r="F1078" s="2">
        <v>31.3</v>
      </c>
      <c r="G1078" s="2">
        <v>0</v>
      </c>
      <c r="H1078" s="2" t="str">
        <f>VLOOKUP(A1078,Holidays!$A$2:$B$2107,2,1)</f>
        <v>Y</v>
      </c>
      <c r="I1078" s="2" t="str">
        <f>VLOOKUP(A1078,Holidays!$A$2:$C$2107,3,1)</f>
        <v>N</v>
      </c>
    </row>
    <row r="1079" spans="1:9" x14ac:dyDescent="0.45">
      <c r="A1079" s="1">
        <v>43082</v>
      </c>
      <c r="B1079">
        <v>146933.095</v>
      </c>
      <c r="C1079">
        <v>94.498151980000003</v>
      </c>
      <c r="D1079" s="2">
        <v>15.8</v>
      </c>
      <c r="E1079" s="2">
        <v>37.6</v>
      </c>
      <c r="F1079" s="2">
        <v>32</v>
      </c>
      <c r="G1079" s="2">
        <v>0</v>
      </c>
      <c r="H1079" s="2" t="str">
        <f>VLOOKUP(A1079,Holidays!$A$2:$B$2107,2,1)</f>
        <v>Y</v>
      </c>
      <c r="I1079" s="2" t="str">
        <f>VLOOKUP(A1079,Holidays!$A$2:$C$2107,3,1)</f>
        <v>N</v>
      </c>
    </row>
    <row r="1080" spans="1:9" x14ac:dyDescent="0.45">
      <c r="A1080" s="1">
        <v>43083</v>
      </c>
      <c r="B1080">
        <v>129280.81</v>
      </c>
      <c r="C1080">
        <v>101.8652498</v>
      </c>
      <c r="D1080" s="2">
        <v>20.5</v>
      </c>
      <c r="E1080" s="2">
        <v>23.1</v>
      </c>
      <c r="F1080" s="2">
        <v>21.7</v>
      </c>
      <c r="G1080" s="2">
        <v>0</v>
      </c>
      <c r="H1080" s="2" t="str">
        <f>VLOOKUP(A1080,Holidays!$A$2:$B$2107,2,1)</f>
        <v>Y</v>
      </c>
      <c r="I1080" s="2" t="str">
        <f>VLOOKUP(A1080,Holidays!$A$2:$C$2107,3,1)</f>
        <v>N</v>
      </c>
    </row>
    <row r="1081" spans="1:9" x14ac:dyDescent="0.45">
      <c r="A1081" s="1">
        <v>43084</v>
      </c>
      <c r="B1081">
        <v>120821.05499999999</v>
      </c>
      <c r="C1081">
        <v>105.4358596</v>
      </c>
      <c r="D1081" s="2">
        <v>14.1</v>
      </c>
      <c r="E1081" s="2">
        <v>26.4</v>
      </c>
      <c r="F1081" s="2">
        <v>32.1</v>
      </c>
      <c r="G1081" s="2">
        <v>0</v>
      </c>
      <c r="H1081" s="2" t="str">
        <f>VLOOKUP(A1081,Holidays!$A$2:$B$2107,2,1)</f>
        <v>Y</v>
      </c>
      <c r="I1081" s="2" t="str">
        <f>VLOOKUP(A1081,Holidays!$A$2:$C$2107,3,1)</f>
        <v>N</v>
      </c>
    </row>
    <row r="1082" spans="1:9" x14ac:dyDescent="0.45">
      <c r="A1082" s="1">
        <v>43085</v>
      </c>
      <c r="B1082">
        <v>110154.36</v>
      </c>
      <c r="C1082">
        <v>99.475416330000002</v>
      </c>
      <c r="D1082" s="2">
        <v>13.8</v>
      </c>
      <c r="E1082" s="2">
        <v>24.6</v>
      </c>
      <c r="F1082" s="2">
        <v>31</v>
      </c>
      <c r="G1082" s="2">
        <v>0</v>
      </c>
      <c r="H1082" s="2" t="str">
        <f>VLOOKUP(A1082,Holidays!$A$2:$B$2107,2,1)</f>
        <v>Y</v>
      </c>
      <c r="I1082" s="2" t="str">
        <f>VLOOKUP(A1082,Holidays!$A$2:$C$2107,3,1)</f>
        <v>N</v>
      </c>
    </row>
    <row r="1083" spans="1:9" x14ac:dyDescent="0.45">
      <c r="A1083" s="1">
        <v>43086</v>
      </c>
      <c r="B1083">
        <v>107212.84</v>
      </c>
      <c r="C1083">
        <v>82.049323279999996</v>
      </c>
      <c r="D1083" s="2">
        <v>15.7</v>
      </c>
      <c r="E1083" s="2">
        <v>24.5</v>
      </c>
      <c r="F1083" s="2">
        <v>30.5</v>
      </c>
      <c r="G1083" s="2">
        <v>0</v>
      </c>
      <c r="H1083" s="2" t="str">
        <f>VLOOKUP(A1083,Holidays!$A$2:$B$2107,2,1)</f>
        <v>Y</v>
      </c>
      <c r="I1083" s="2" t="str">
        <f>VLOOKUP(A1083,Holidays!$A$2:$C$2107,3,1)</f>
        <v>N</v>
      </c>
    </row>
    <row r="1084" spans="1:9" x14ac:dyDescent="0.45">
      <c r="A1084" s="1">
        <v>43087</v>
      </c>
      <c r="B1084">
        <v>138949.67499999999</v>
      </c>
      <c r="C1084">
        <v>117.26538429999999</v>
      </c>
      <c r="D1084" s="2">
        <v>17.100000000000001</v>
      </c>
      <c r="E1084" s="2">
        <v>33</v>
      </c>
      <c r="F1084" s="2">
        <v>22.1</v>
      </c>
      <c r="G1084" s="2">
        <v>0</v>
      </c>
      <c r="H1084" s="2" t="str">
        <f>VLOOKUP(A1084,Holidays!$A$2:$B$2107,2,1)</f>
        <v>Y</v>
      </c>
      <c r="I1084" s="2" t="str">
        <f>VLOOKUP(A1084,Holidays!$A$2:$C$2107,3,1)</f>
        <v>N</v>
      </c>
    </row>
    <row r="1085" spans="1:9" x14ac:dyDescent="0.45">
      <c r="A1085" s="1">
        <v>43088</v>
      </c>
      <c r="B1085">
        <v>142870.39499999999</v>
      </c>
      <c r="C1085">
        <v>106.4977263</v>
      </c>
      <c r="D1085" s="2">
        <v>19.7</v>
      </c>
      <c r="E1085" s="2">
        <v>37.4</v>
      </c>
      <c r="F1085" s="2">
        <v>12.1</v>
      </c>
      <c r="G1085" s="2">
        <v>0</v>
      </c>
      <c r="H1085" s="2" t="str">
        <f>VLOOKUP(A1085,Holidays!$A$2:$B$2107,2,1)</f>
        <v>Y</v>
      </c>
      <c r="I1085" s="2" t="str">
        <f>VLOOKUP(A1085,Holidays!$A$2:$C$2107,3,1)</f>
        <v>N</v>
      </c>
    </row>
    <row r="1086" spans="1:9" x14ac:dyDescent="0.45">
      <c r="A1086" s="1">
        <v>43089</v>
      </c>
      <c r="B1086">
        <v>114916.99</v>
      </c>
      <c r="C1086">
        <v>78.737600779999994</v>
      </c>
      <c r="D1086" s="2">
        <v>15.8</v>
      </c>
      <c r="E1086" s="2">
        <v>24.5</v>
      </c>
      <c r="F1086" s="2">
        <v>19</v>
      </c>
      <c r="G1086" s="2">
        <v>20.6</v>
      </c>
      <c r="H1086" s="2" t="str">
        <f>VLOOKUP(A1086,Holidays!$A$2:$B$2107,2,1)</f>
        <v>Y</v>
      </c>
      <c r="I1086" s="2" t="str">
        <f>VLOOKUP(A1086,Holidays!$A$2:$C$2107,3,1)</f>
        <v>N</v>
      </c>
    </row>
    <row r="1087" spans="1:9" x14ac:dyDescent="0.45">
      <c r="A1087" s="1">
        <v>43090</v>
      </c>
      <c r="B1087">
        <v>114462.53</v>
      </c>
      <c r="C1087">
        <v>85.775431650000002</v>
      </c>
      <c r="D1087" s="2">
        <v>12.3</v>
      </c>
      <c r="E1087" s="2">
        <v>23.7</v>
      </c>
      <c r="F1087" s="2">
        <v>31.9</v>
      </c>
      <c r="G1087" s="2">
        <v>0</v>
      </c>
      <c r="H1087" s="2" t="str">
        <f>VLOOKUP(A1087,Holidays!$A$2:$B$2107,2,1)</f>
        <v>Y</v>
      </c>
      <c r="I1087" s="2" t="str">
        <f>VLOOKUP(A1087,Holidays!$A$2:$C$2107,3,1)</f>
        <v>N</v>
      </c>
    </row>
    <row r="1088" spans="1:9" x14ac:dyDescent="0.45">
      <c r="A1088" s="1">
        <v>43091</v>
      </c>
      <c r="B1088">
        <v>116428.79</v>
      </c>
      <c r="C1088">
        <v>81.598862999999994</v>
      </c>
      <c r="D1088" s="2">
        <v>13.6</v>
      </c>
      <c r="E1088" s="2">
        <v>27.7</v>
      </c>
      <c r="F1088" s="2">
        <v>26.6</v>
      </c>
      <c r="G1088" s="2">
        <v>0</v>
      </c>
      <c r="H1088" s="2" t="str">
        <f>VLOOKUP(A1088,Holidays!$A$2:$B$2107,2,1)</f>
        <v>N</v>
      </c>
      <c r="I1088" s="2" t="str">
        <f>VLOOKUP(A1088,Holidays!$A$2:$C$2107,3,1)</f>
        <v>N</v>
      </c>
    </row>
    <row r="1089" spans="1:9" x14ac:dyDescent="0.45">
      <c r="A1089" s="1">
        <v>43092</v>
      </c>
      <c r="B1089">
        <v>109364.01</v>
      </c>
      <c r="C1089">
        <v>79.898848340000001</v>
      </c>
      <c r="D1089" s="2">
        <v>14.7</v>
      </c>
      <c r="E1089" s="2">
        <v>30.2</v>
      </c>
      <c r="F1089" s="2">
        <v>21.2</v>
      </c>
      <c r="G1089" s="2">
        <v>0</v>
      </c>
      <c r="H1089" s="2" t="str">
        <f>VLOOKUP(A1089,Holidays!$A$2:$B$2107,2,1)</f>
        <v>N</v>
      </c>
      <c r="I1089" s="2" t="str">
        <f>VLOOKUP(A1089,Holidays!$A$2:$C$2107,3,1)</f>
        <v>N</v>
      </c>
    </row>
    <row r="1090" spans="1:9" x14ac:dyDescent="0.45">
      <c r="A1090" s="1">
        <v>43093</v>
      </c>
      <c r="B1090">
        <v>92856.23</v>
      </c>
      <c r="C1090">
        <v>58.939113859999999</v>
      </c>
      <c r="D1090" s="2">
        <v>15.8</v>
      </c>
      <c r="E1090" s="2">
        <v>19.399999999999999</v>
      </c>
      <c r="F1090" s="2">
        <v>25.7</v>
      </c>
      <c r="G1090" s="2">
        <v>0.4</v>
      </c>
      <c r="H1090" s="2" t="str">
        <f>VLOOKUP(A1090,Holidays!$A$2:$B$2107,2,1)</f>
        <v>N</v>
      </c>
      <c r="I1090" s="2" t="str">
        <f>VLOOKUP(A1090,Holidays!$A$2:$C$2107,3,1)</f>
        <v>N</v>
      </c>
    </row>
    <row r="1091" spans="1:9" x14ac:dyDescent="0.45">
      <c r="A1091" s="1">
        <v>43094</v>
      </c>
      <c r="B1091">
        <v>85094.375</v>
      </c>
      <c r="C1091">
        <v>44.900300629999997</v>
      </c>
      <c r="D1091" s="2">
        <v>15.1</v>
      </c>
      <c r="E1091" s="2">
        <v>21.4</v>
      </c>
      <c r="F1091" s="2">
        <v>29</v>
      </c>
      <c r="G1091" s="2">
        <v>0</v>
      </c>
      <c r="H1091" s="2" t="str">
        <f>VLOOKUP(A1091,Holidays!$A$2:$B$2107,2,1)</f>
        <v>N</v>
      </c>
      <c r="I1091" s="2" t="str">
        <f>VLOOKUP(A1091,Holidays!$A$2:$C$2107,3,1)</f>
        <v>Y</v>
      </c>
    </row>
    <row r="1092" spans="1:9" x14ac:dyDescent="0.45">
      <c r="A1092" s="1">
        <v>43095</v>
      </c>
      <c r="B1092">
        <v>98638.854999999996</v>
      </c>
      <c r="C1092">
        <v>72.845242119999995</v>
      </c>
      <c r="D1092" s="2">
        <v>12.5</v>
      </c>
      <c r="E1092" s="2">
        <v>30.5</v>
      </c>
      <c r="F1092" s="2">
        <v>31.9</v>
      </c>
      <c r="G1092" s="2">
        <v>0</v>
      </c>
      <c r="H1092" s="2" t="str">
        <f>VLOOKUP(A1092,Holidays!$A$2:$B$2107,2,1)</f>
        <v>N</v>
      </c>
      <c r="I1092" s="2" t="str">
        <f>VLOOKUP(A1092,Holidays!$A$2:$C$2107,3,1)</f>
        <v>Y</v>
      </c>
    </row>
    <row r="1093" spans="1:9" x14ac:dyDescent="0.45">
      <c r="A1093" s="1">
        <v>43096</v>
      </c>
      <c r="B1093">
        <v>128753.755</v>
      </c>
      <c r="C1093">
        <v>113.6548037</v>
      </c>
      <c r="D1093" s="2">
        <v>17.3</v>
      </c>
      <c r="E1093" s="2">
        <v>34.5</v>
      </c>
      <c r="F1093" s="2">
        <v>30.6</v>
      </c>
      <c r="G1093" s="2">
        <v>0</v>
      </c>
      <c r="H1093" s="2" t="str">
        <f>VLOOKUP(A1093,Holidays!$A$2:$B$2107,2,1)</f>
        <v>N</v>
      </c>
      <c r="I1093" s="2" t="str">
        <f>VLOOKUP(A1093,Holidays!$A$2:$C$2107,3,1)</f>
        <v>N</v>
      </c>
    </row>
    <row r="1094" spans="1:9" x14ac:dyDescent="0.45">
      <c r="A1094" s="1">
        <v>43097</v>
      </c>
      <c r="B1094">
        <v>130699.155</v>
      </c>
      <c r="C1094">
        <v>109.4926892</v>
      </c>
      <c r="D1094" s="2">
        <v>24</v>
      </c>
      <c r="E1094" s="2">
        <v>32.799999999999997</v>
      </c>
      <c r="F1094" s="2">
        <v>13.5</v>
      </c>
      <c r="G1094" s="2">
        <v>0</v>
      </c>
      <c r="H1094" s="2" t="str">
        <f>VLOOKUP(A1094,Holidays!$A$2:$B$2107,2,1)</f>
        <v>N</v>
      </c>
      <c r="I1094" s="2" t="str">
        <f>VLOOKUP(A1094,Holidays!$A$2:$C$2107,3,1)</f>
        <v>N</v>
      </c>
    </row>
    <row r="1095" spans="1:9" x14ac:dyDescent="0.45">
      <c r="A1095" s="1">
        <v>43098</v>
      </c>
      <c r="B1095">
        <v>115572.045</v>
      </c>
      <c r="C1095">
        <v>93.834088929999993</v>
      </c>
      <c r="D1095" s="2">
        <v>18.600000000000001</v>
      </c>
      <c r="E1095" s="2">
        <v>24.4</v>
      </c>
      <c r="F1095" s="2">
        <v>9.3000000000000007</v>
      </c>
      <c r="G1095" s="2">
        <v>0.2</v>
      </c>
      <c r="H1095" s="2" t="str">
        <f>VLOOKUP(A1095,Holidays!$A$2:$B$2107,2,1)</f>
        <v>N</v>
      </c>
      <c r="I1095" s="2" t="str">
        <f>VLOOKUP(A1095,Holidays!$A$2:$C$2107,3,1)</f>
        <v>N</v>
      </c>
    </row>
    <row r="1096" spans="1:9" x14ac:dyDescent="0.45">
      <c r="A1096" s="1">
        <v>43099</v>
      </c>
      <c r="B1096">
        <v>96358.975000000006</v>
      </c>
      <c r="C1096">
        <v>59.475169020000003</v>
      </c>
      <c r="D1096" s="2">
        <v>15.6</v>
      </c>
      <c r="E1096" s="2">
        <v>21.3</v>
      </c>
      <c r="F1096" s="2">
        <v>13.6</v>
      </c>
      <c r="G1096" s="2">
        <v>8.4</v>
      </c>
      <c r="H1096" s="2" t="str">
        <f>VLOOKUP(A1096,Holidays!$A$2:$B$2107,2,1)</f>
        <v>N</v>
      </c>
      <c r="I1096" s="2" t="str">
        <f>VLOOKUP(A1096,Holidays!$A$2:$C$2107,3,1)</f>
        <v>N</v>
      </c>
    </row>
    <row r="1097" spans="1:9" x14ac:dyDescent="0.45">
      <c r="A1097" s="1">
        <v>43100</v>
      </c>
      <c r="B1097">
        <v>95700.479999999996</v>
      </c>
      <c r="C1097">
        <v>61.49347092</v>
      </c>
      <c r="D1097" s="2">
        <v>12</v>
      </c>
      <c r="E1097" s="2">
        <v>25.7</v>
      </c>
      <c r="F1097" s="2">
        <v>31.7</v>
      </c>
      <c r="G1097" s="2">
        <v>0.2</v>
      </c>
      <c r="H1097" s="2" t="str">
        <f>VLOOKUP(A1097,Holidays!$A$2:$B$2107,2,1)</f>
        <v>N</v>
      </c>
      <c r="I1097" s="2" t="str">
        <f>VLOOKUP(A1097,Holidays!$A$2:$C$2107,3,1)</f>
        <v>N</v>
      </c>
    </row>
    <row r="1098" spans="1:9" x14ac:dyDescent="0.45">
      <c r="A1098" s="1">
        <v>43101</v>
      </c>
      <c r="B1098">
        <v>95959.684999999998</v>
      </c>
      <c r="C1098">
        <v>71.817747299999994</v>
      </c>
      <c r="D1098" s="2">
        <v>16.600000000000001</v>
      </c>
      <c r="E1098" s="2">
        <v>25.3</v>
      </c>
      <c r="F1098" s="2">
        <v>31.4</v>
      </c>
      <c r="G1098" s="2">
        <v>0</v>
      </c>
      <c r="H1098" s="2" t="str">
        <f>VLOOKUP(A1098,Holidays!$A$2:$B$2107,2,1)</f>
        <v>N</v>
      </c>
      <c r="I1098" s="2" t="str">
        <f>VLOOKUP(A1098,Holidays!$A$2:$C$2107,3,1)</f>
        <v>Y</v>
      </c>
    </row>
    <row r="1099" spans="1:9" x14ac:dyDescent="0.45">
      <c r="A1099" s="1">
        <v>43102</v>
      </c>
      <c r="B1099">
        <v>105277.85</v>
      </c>
      <c r="C1099">
        <v>69.387729629999995</v>
      </c>
      <c r="D1099" s="2">
        <v>16.399999999999999</v>
      </c>
      <c r="E1099" s="2">
        <v>21.8</v>
      </c>
      <c r="F1099" s="2">
        <v>29.7</v>
      </c>
      <c r="G1099" s="2">
        <v>0</v>
      </c>
      <c r="H1099" s="2" t="str">
        <f>VLOOKUP(A1099,Holidays!$A$2:$B$2107,2,1)</f>
        <v>N</v>
      </c>
      <c r="I1099" s="2" t="str">
        <f>VLOOKUP(A1099,Holidays!$A$2:$C$2107,3,1)</f>
        <v>N</v>
      </c>
    </row>
    <row r="1100" spans="1:9" x14ac:dyDescent="0.45">
      <c r="A1100" s="1">
        <v>43103</v>
      </c>
      <c r="B1100">
        <v>106373.825</v>
      </c>
      <c r="C1100">
        <v>67.238116770000005</v>
      </c>
      <c r="D1100" s="2">
        <v>14.6</v>
      </c>
      <c r="E1100" s="2">
        <v>21</v>
      </c>
      <c r="F1100" s="2">
        <v>27.2</v>
      </c>
      <c r="G1100" s="2">
        <v>0</v>
      </c>
      <c r="H1100" s="2" t="str">
        <f>VLOOKUP(A1100,Holidays!$A$2:$B$2107,2,1)</f>
        <v>N</v>
      </c>
      <c r="I1100" s="2" t="str">
        <f>VLOOKUP(A1100,Holidays!$A$2:$C$2107,3,1)</f>
        <v>N</v>
      </c>
    </row>
    <row r="1101" spans="1:9" x14ac:dyDescent="0.45">
      <c r="A1101" s="1">
        <v>43104</v>
      </c>
      <c r="B1101">
        <v>113337.685</v>
      </c>
      <c r="C1101">
        <v>78.738187400000001</v>
      </c>
      <c r="D1101" s="2">
        <v>14.1</v>
      </c>
      <c r="E1101" s="2">
        <v>23.6</v>
      </c>
      <c r="F1101" s="2">
        <v>31.8</v>
      </c>
      <c r="G1101" s="2">
        <v>0.2</v>
      </c>
      <c r="H1101" s="2" t="str">
        <f>VLOOKUP(A1101,Holidays!$A$2:$B$2107,2,1)</f>
        <v>N</v>
      </c>
      <c r="I1101" s="2" t="str">
        <f>VLOOKUP(A1101,Holidays!$A$2:$C$2107,3,1)</f>
        <v>N</v>
      </c>
    </row>
    <row r="1102" spans="1:9" x14ac:dyDescent="0.45">
      <c r="A1102" s="1">
        <v>43105</v>
      </c>
      <c r="B1102">
        <v>123247.735</v>
      </c>
      <c r="C1102">
        <v>90.82817034</v>
      </c>
      <c r="D1102" s="2">
        <v>14.7</v>
      </c>
      <c r="E1102" s="2">
        <v>30.7</v>
      </c>
      <c r="F1102" s="2">
        <v>31.7</v>
      </c>
      <c r="G1102" s="2">
        <v>0</v>
      </c>
      <c r="H1102" s="2" t="str">
        <f>VLOOKUP(A1102,Holidays!$A$2:$B$2107,2,1)</f>
        <v>N</v>
      </c>
      <c r="I1102" s="2" t="str">
        <f>VLOOKUP(A1102,Holidays!$A$2:$C$2107,3,1)</f>
        <v>N</v>
      </c>
    </row>
    <row r="1103" spans="1:9" x14ac:dyDescent="0.45">
      <c r="A1103" s="1">
        <v>43106</v>
      </c>
      <c r="B1103">
        <v>133705.845</v>
      </c>
      <c r="C1103">
        <v>75.591386209999996</v>
      </c>
      <c r="D1103" s="2">
        <v>18.8</v>
      </c>
      <c r="E1103" s="2">
        <v>41.7</v>
      </c>
      <c r="F1103" s="2">
        <v>31.5</v>
      </c>
      <c r="G1103" s="2">
        <v>0</v>
      </c>
      <c r="H1103" s="2" t="str">
        <f>VLOOKUP(A1103,Holidays!$A$2:$B$2107,2,1)</f>
        <v>N</v>
      </c>
      <c r="I1103" s="2" t="str">
        <f>VLOOKUP(A1103,Holidays!$A$2:$C$2107,3,1)</f>
        <v>N</v>
      </c>
    </row>
    <row r="1104" spans="1:9" x14ac:dyDescent="0.45">
      <c r="A1104" s="1">
        <v>43107</v>
      </c>
      <c r="B1104">
        <v>107142.815</v>
      </c>
      <c r="C1104">
        <v>80.976046170000004</v>
      </c>
      <c r="D1104" s="2">
        <v>18.7</v>
      </c>
      <c r="E1104" s="2">
        <v>21.8</v>
      </c>
      <c r="F1104" s="2">
        <v>11</v>
      </c>
      <c r="G1104" s="2">
        <v>0</v>
      </c>
      <c r="H1104" s="2" t="str">
        <f>VLOOKUP(A1104,Holidays!$A$2:$B$2107,2,1)</f>
        <v>N</v>
      </c>
      <c r="I1104" s="2" t="str">
        <f>VLOOKUP(A1104,Holidays!$A$2:$C$2107,3,1)</f>
        <v>N</v>
      </c>
    </row>
    <row r="1105" spans="1:9" x14ac:dyDescent="0.45">
      <c r="A1105" s="1">
        <v>43108</v>
      </c>
      <c r="B1105">
        <v>118832.07</v>
      </c>
      <c r="C1105">
        <v>87.931578639999998</v>
      </c>
      <c r="D1105" s="2">
        <v>17.3</v>
      </c>
      <c r="E1105" s="2">
        <v>21.9</v>
      </c>
      <c r="F1105" s="2">
        <v>17.5</v>
      </c>
      <c r="G1105" s="2">
        <v>0</v>
      </c>
      <c r="H1105" s="2" t="str">
        <f>VLOOKUP(A1105,Holidays!$A$2:$B$2107,2,1)</f>
        <v>N</v>
      </c>
      <c r="I1105" s="2" t="str">
        <f>VLOOKUP(A1105,Holidays!$A$2:$C$2107,3,1)</f>
        <v>N</v>
      </c>
    </row>
    <row r="1106" spans="1:9" x14ac:dyDescent="0.45">
      <c r="A1106" s="1">
        <v>43109</v>
      </c>
      <c r="B1106">
        <v>111361.05</v>
      </c>
      <c r="C1106">
        <v>76.717394519999999</v>
      </c>
      <c r="D1106" s="2">
        <v>15.7</v>
      </c>
      <c r="E1106" s="2">
        <v>22.5</v>
      </c>
      <c r="F1106" s="2">
        <v>30</v>
      </c>
      <c r="G1106" s="2">
        <v>0</v>
      </c>
      <c r="H1106" s="2" t="str">
        <f>VLOOKUP(A1106,Holidays!$A$2:$B$2107,2,1)</f>
        <v>N</v>
      </c>
      <c r="I1106" s="2" t="str">
        <f>VLOOKUP(A1106,Holidays!$A$2:$C$2107,3,1)</f>
        <v>N</v>
      </c>
    </row>
    <row r="1107" spans="1:9" x14ac:dyDescent="0.45">
      <c r="A1107" s="1">
        <v>43110</v>
      </c>
      <c r="B1107">
        <v>116530.04</v>
      </c>
      <c r="C1107">
        <v>80.212274440000002</v>
      </c>
      <c r="D1107" s="2">
        <v>13.6</v>
      </c>
      <c r="E1107" s="2">
        <v>25.6</v>
      </c>
      <c r="F1107" s="2">
        <v>23.5</v>
      </c>
      <c r="G1107" s="2">
        <v>0</v>
      </c>
      <c r="H1107" s="2" t="str">
        <f>VLOOKUP(A1107,Holidays!$A$2:$B$2107,2,1)</f>
        <v>N</v>
      </c>
      <c r="I1107" s="2" t="str">
        <f>VLOOKUP(A1107,Holidays!$A$2:$C$2107,3,1)</f>
        <v>N</v>
      </c>
    </row>
    <row r="1108" spans="1:9" x14ac:dyDescent="0.45">
      <c r="A1108" s="1">
        <v>43111</v>
      </c>
      <c r="B1108">
        <v>139607.905</v>
      </c>
      <c r="C1108">
        <v>87.802658050000005</v>
      </c>
      <c r="D1108" s="2">
        <v>15.5</v>
      </c>
      <c r="E1108" s="2">
        <v>34.5</v>
      </c>
      <c r="F1108" s="2">
        <v>28.6</v>
      </c>
      <c r="G1108" s="2">
        <v>0</v>
      </c>
      <c r="H1108" s="2" t="str">
        <f>VLOOKUP(A1108,Holidays!$A$2:$B$2107,2,1)</f>
        <v>N</v>
      </c>
      <c r="I1108" s="2" t="str">
        <f>VLOOKUP(A1108,Holidays!$A$2:$C$2107,3,1)</f>
        <v>N</v>
      </c>
    </row>
    <row r="1109" spans="1:9" x14ac:dyDescent="0.45">
      <c r="A1109" s="1">
        <v>43112</v>
      </c>
      <c r="B1109">
        <v>132022.87</v>
      </c>
      <c r="C1109">
        <v>94.000719250000003</v>
      </c>
      <c r="D1109" s="2">
        <v>20.399999999999999</v>
      </c>
      <c r="E1109" s="2">
        <v>30</v>
      </c>
      <c r="F1109" s="2">
        <v>1.7</v>
      </c>
      <c r="G1109" s="2">
        <v>1</v>
      </c>
      <c r="H1109" s="2" t="str">
        <f>VLOOKUP(A1109,Holidays!$A$2:$B$2107,2,1)</f>
        <v>N</v>
      </c>
      <c r="I1109" s="2" t="str">
        <f>VLOOKUP(A1109,Holidays!$A$2:$C$2107,3,1)</f>
        <v>N</v>
      </c>
    </row>
    <row r="1110" spans="1:9" x14ac:dyDescent="0.45">
      <c r="A1110" s="1">
        <v>43113</v>
      </c>
      <c r="B1110">
        <v>98977.05</v>
      </c>
      <c r="C1110">
        <v>73.276545920000004</v>
      </c>
      <c r="D1110" s="2">
        <v>16</v>
      </c>
      <c r="E1110" s="2">
        <v>20.9</v>
      </c>
      <c r="F1110" s="2">
        <v>10.7</v>
      </c>
      <c r="G1110" s="2">
        <v>7</v>
      </c>
      <c r="H1110" s="2" t="str">
        <f>VLOOKUP(A1110,Holidays!$A$2:$B$2107,2,1)</f>
        <v>N</v>
      </c>
      <c r="I1110" s="2" t="str">
        <f>VLOOKUP(A1110,Holidays!$A$2:$C$2107,3,1)</f>
        <v>N</v>
      </c>
    </row>
    <row r="1111" spans="1:9" x14ac:dyDescent="0.45">
      <c r="A1111" s="1">
        <v>43114</v>
      </c>
      <c r="B1111">
        <v>92021.68</v>
      </c>
      <c r="C1111">
        <v>66.65958191</v>
      </c>
      <c r="D1111" s="2">
        <v>12.7</v>
      </c>
      <c r="E1111" s="2">
        <v>19.5</v>
      </c>
      <c r="F1111" s="2">
        <v>27.5</v>
      </c>
      <c r="G1111" s="2">
        <v>15</v>
      </c>
      <c r="H1111" s="2" t="str">
        <f>VLOOKUP(A1111,Holidays!$A$2:$B$2107,2,1)</f>
        <v>N</v>
      </c>
      <c r="I1111" s="2" t="str">
        <f>VLOOKUP(A1111,Holidays!$A$2:$C$2107,3,1)</f>
        <v>N</v>
      </c>
    </row>
    <row r="1112" spans="1:9" x14ac:dyDescent="0.45">
      <c r="A1112" s="1">
        <v>43115</v>
      </c>
      <c r="B1112">
        <v>109389.095</v>
      </c>
      <c r="C1112">
        <v>86.378514550000006</v>
      </c>
      <c r="D1112" s="2">
        <v>14.6</v>
      </c>
      <c r="E1112" s="2">
        <v>20.9</v>
      </c>
      <c r="F1112" s="2">
        <v>21.1</v>
      </c>
      <c r="G1112" s="2">
        <v>0</v>
      </c>
      <c r="H1112" s="2" t="str">
        <f>VLOOKUP(A1112,Holidays!$A$2:$B$2107,2,1)</f>
        <v>N</v>
      </c>
      <c r="I1112" s="2" t="str">
        <f>VLOOKUP(A1112,Holidays!$A$2:$C$2107,3,1)</f>
        <v>N</v>
      </c>
    </row>
    <row r="1113" spans="1:9" x14ac:dyDescent="0.45">
      <c r="A1113" s="1">
        <v>43116</v>
      </c>
      <c r="B1113">
        <v>116074.03</v>
      </c>
      <c r="C1113">
        <v>92.836877680000001</v>
      </c>
      <c r="D1113" s="2">
        <v>12.9</v>
      </c>
      <c r="E1113" s="2">
        <v>26.9</v>
      </c>
      <c r="F1113" s="2">
        <v>31.1</v>
      </c>
      <c r="G1113" s="2">
        <v>0</v>
      </c>
      <c r="H1113" s="2" t="str">
        <f>VLOOKUP(A1113,Holidays!$A$2:$B$2107,2,1)</f>
        <v>N</v>
      </c>
      <c r="I1113" s="2" t="str">
        <f>VLOOKUP(A1113,Holidays!$A$2:$C$2107,3,1)</f>
        <v>N</v>
      </c>
    </row>
    <row r="1114" spans="1:9" x14ac:dyDescent="0.45">
      <c r="A1114" s="1">
        <v>43117</v>
      </c>
      <c r="B1114">
        <v>129286.36500000001</v>
      </c>
      <c r="C1114">
        <v>100.2774263</v>
      </c>
      <c r="D1114" s="2">
        <v>12.4</v>
      </c>
      <c r="E1114" s="2">
        <v>30.3</v>
      </c>
      <c r="F1114" s="2">
        <v>30.9</v>
      </c>
      <c r="G1114" s="2">
        <v>0</v>
      </c>
      <c r="H1114" s="2" t="str">
        <f>VLOOKUP(A1114,Holidays!$A$2:$B$2107,2,1)</f>
        <v>N</v>
      </c>
      <c r="I1114" s="2" t="str">
        <f>VLOOKUP(A1114,Holidays!$A$2:$C$2107,3,1)</f>
        <v>N</v>
      </c>
    </row>
    <row r="1115" spans="1:9" x14ac:dyDescent="0.45">
      <c r="A1115" s="1">
        <v>43118</v>
      </c>
      <c r="B1115">
        <v>154648.065</v>
      </c>
      <c r="C1115">
        <v>1210.1379199999999</v>
      </c>
      <c r="D1115" s="2">
        <v>16.600000000000001</v>
      </c>
      <c r="E1115" s="2">
        <v>40</v>
      </c>
      <c r="F1115" s="2">
        <v>30.8</v>
      </c>
      <c r="G1115" s="2">
        <v>0</v>
      </c>
      <c r="H1115" s="2" t="str">
        <f>VLOOKUP(A1115,Holidays!$A$2:$B$2107,2,1)</f>
        <v>N</v>
      </c>
      <c r="I1115" s="2" t="str">
        <f>VLOOKUP(A1115,Holidays!$A$2:$C$2107,3,1)</f>
        <v>N</v>
      </c>
    </row>
    <row r="1116" spans="1:9" x14ac:dyDescent="0.45">
      <c r="A1116" s="1">
        <v>43119</v>
      </c>
      <c r="B1116">
        <v>165070.595</v>
      </c>
      <c r="C1116">
        <v>647.57416339999997</v>
      </c>
      <c r="D1116" s="2">
        <v>22.5</v>
      </c>
      <c r="E1116" s="2">
        <v>40.299999999999997</v>
      </c>
      <c r="F1116" s="2">
        <v>30.6</v>
      </c>
      <c r="G1116" s="2">
        <v>0</v>
      </c>
      <c r="H1116" s="2" t="str">
        <f>VLOOKUP(A1116,Holidays!$A$2:$B$2107,2,1)</f>
        <v>N</v>
      </c>
      <c r="I1116" s="2" t="str">
        <f>VLOOKUP(A1116,Holidays!$A$2:$C$2107,3,1)</f>
        <v>N</v>
      </c>
    </row>
    <row r="1117" spans="1:9" x14ac:dyDescent="0.45">
      <c r="A1117" s="1">
        <v>43120</v>
      </c>
      <c r="B1117">
        <v>124825.02499999999</v>
      </c>
      <c r="C1117">
        <v>94.104814860000005</v>
      </c>
      <c r="D1117" s="2">
        <v>20.3</v>
      </c>
      <c r="E1117" s="2">
        <v>24.6</v>
      </c>
      <c r="F1117" s="2">
        <v>20.2</v>
      </c>
      <c r="G1117" s="2">
        <v>0</v>
      </c>
      <c r="H1117" s="2" t="str">
        <f>VLOOKUP(A1117,Holidays!$A$2:$B$2107,2,1)</f>
        <v>N</v>
      </c>
      <c r="I1117" s="2" t="str">
        <f>VLOOKUP(A1117,Holidays!$A$2:$C$2107,3,1)</f>
        <v>N</v>
      </c>
    </row>
    <row r="1118" spans="1:9" x14ac:dyDescent="0.45">
      <c r="A1118" s="1">
        <v>43121</v>
      </c>
      <c r="B1118">
        <v>127305.2</v>
      </c>
      <c r="C1118">
        <v>121.7119723</v>
      </c>
      <c r="D1118" s="2">
        <v>21</v>
      </c>
      <c r="E1118" s="2">
        <v>28.2</v>
      </c>
      <c r="F1118" s="2">
        <v>14.9</v>
      </c>
      <c r="G1118" s="2">
        <v>0</v>
      </c>
      <c r="H1118" s="2" t="str">
        <f>VLOOKUP(A1118,Holidays!$A$2:$B$2107,2,1)</f>
        <v>N</v>
      </c>
      <c r="I1118" s="2" t="str">
        <f>VLOOKUP(A1118,Holidays!$A$2:$C$2107,3,1)</f>
        <v>N</v>
      </c>
    </row>
    <row r="1119" spans="1:9" x14ac:dyDescent="0.45">
      <c r="A1119" s="1">
        <v>43122</v>
      </c>
      <c r="B1119">
        <v>137955.42499999999</v>
      </c>
      <c r="C1119">
        <v>115.1294838</v>
      </c>
      <c r="D1119" s="2">
        <v>20.5</v>
      </c>
      <c r="E1119" s="2">
        <v>23.9</v>
      </c>
      <c r="F1119" s="2">
        <v>27.3</v>
      </c>
      <c r="G1119" s="2">
        <v>0</v>
      </c>
      <c r="H1119" s="2" t="str">
        <f>VLOOKUP(A1119,Holidays!$A$2:$B$2107,2,1)</f>
        <v>N</v>
      </c>
      <c r="I1119" s="2" t="str">
        <f>VLOOKUP(A1119,Holidays!$A$2:$C$2107,3,1)</f>
        <v>N</v>
      </c>
    </row>
    <row r="1120" spans="1:9" x14ac:dyDescent="0.45">
      <c r="A1120" s="1">
        <v>43123</v>
      </c>
      <c r="B1120">
        <v>128314.47</v>
      </c>
      <c r="C1120">
        <v>102.3741093</v>
      </c>
      <c r="D1120" s="2">
        <v>18</v>
      </c>
      <c r="E1120" s="2">
        <v>23.6</v>
      </c>
      <c r="F1120" s="2">
        <v>28.3</v>
      </c>
      <c r="G1120" s="2">
        <v>0</v>
      </c>
      <c r="H1120" s="2" t="str">
        <f>VLOOKUP(A1120,Holidays!$A$2:$B$2107,2,1)</f>
        <v>N</v>
      </c>
      <c r="I1120" s="2" t="str">
        <f>VLOOKUP(A1120,Holidays!$A$2:$C$2107,3,1)</f>
        <v>N</v>
      </c>
    </row>
    <row r="1121" spans="1:9" x14ac:dyDescent="0.45">
      <c r="A1121" s="1">
        <v>43124</v>
      </c>
      <c r="B1121">
        <v>128899.765</v>
      </c>
      <c r="C1121">
        <v>103.427874</v>
      </c>
      <c r="D1121" s="2">
        <v>14.8</v>
      </c>
      <c r="E1121" s="2">
        <v>23.3</v>
      </c>
      <c r="F1121" s="2">
        <v>27.5</v>
      </c>
      <c r="G1121" s="2">
        <v>0</v>
      </c>
      <c r="H1121" s="2" t="str">
        <f>VLOOKUP(A1121,Holidays!$A$2:$B$2107,2,1)</f>
        <v>N</v>
      </c>
      <c r="I1121" s="2" t="str">
        <f>VLOOKUP(A1121,Holidays!$A$2:$C$2107,3,1)</f>
        <v>N</v>
      </c>
    </row>
    <row r="1122" spans="1:9" x14ac:dyDescent="0.45">
      <c r="A1122" s="1">
        <v>43125</v>
      </c>
      <c r="B1122">
        <v>139245.21</v>
      </c>
      <c r="C1122">
        <v>155.5028059</v>
      </c>
      <c r="D1122" s="2">
        <v>17.100000000000001</v>
      </c>
      <c r="E1122" s="2">
        <v>26.6</v>
      </c>
      <c r="F1122" s="2">
        <v>28.1</v>
      </c>
      <c r="G1122" s="2">
        <v>0</v>
      </c>
      <c r="H1122" s="2" t="str">
        <f>VLOOKUP(A1122,Holidays!$A$2:$B$2107,2,1)</f>
        <v>N</v>
      </c>
      <c r="I1122" s="2" t="str">
        <f>VLOOKUP(A1122,Holidays!$A$2:$C$2107,3,1)</f>
        <v>N</v>
      </c>
    </row>
    <row r="1123" spans="1:9" x14ac:dyDescent="0.45">
      <c r="A1123" s="1">
        <v>43126</v>
      </c>
      <c r="B1123">
        <v>128599.46</v>
      </c>
      <c r="C1123">
        <v>91.434892809999994</v>
      </c>
      <c r="D1123" s="2">
        <v>19.399999999999999</v>
      </c>
      <c r="E1123" s="2">
        <v>28.4</v>
      </c>
      <c r="F1123" s="2">
        <v>19.899999999999999</v>
      </c>
      <c r="G1123" s="2">
        <v>0</v>
      </c>
      <c r="H1123" s="2" t="str">
        <f>VLOOKUP(A1123,Holidays!$A$2:$B$2107,2,1)</f>
        <v>N</v>
      </c>
      <c r="I1123" s="2" t="str">
        <f>VLOOKUP(A1123,Holidays!$A$2:$C$2107,3,1)</f>
        <v>Y</v>
      </c>
    </row>
    <row r="1124" spans="1:9" x14ac:dyDescent="0.45">
      <c r="A1124" s="1">
        <v>43127</v>
      </c>
      <c r="B1124">
        <v>139114.58499999999</v>
      </c>
      <c r="C1124">
        <v>104.878878</v>
      </c>
      <c r="D1124" s="2">
        <v>21.2</v>
      </c>
      <c r="E1124" s="2">
        <v>33.200000000000003</v>
      </c>
      <c r="F1124" s="2">
        <v>27.5</v>
      </c>
      <c r="G1124" s="2">
        <v>3.4</v>
      </c>
      <c r="H1124" s="2" t="str">
        <f>VLOOKUP(A1124,Holidays!$A$2:$B$2107,2,1)</f>
        <v>N</v>
      </c>
      <c r="I1124" s="2" t="str">
        <f>VLOOKUP(A1124,Holidays!$A$2:$C$2107,3,1)</f>
        <v>N</v>
      </c>
    </row>
    <row r="1125" spans="1:9" x14ac:dyDescent="0.45">
      <c r="A1125" s="1">
        <v>43128</v>
      </c>
      <c r="B1125">
        <v>159436.69</v>
      </c>
      <c r="C1125">
        <v>290.41964400000001</v>
      </c>
      <c r="D1125" s="2">
        <v>22.7</v>
      </c>
      <c r="E1125" s="2">
        <v>38.1</v>
      </c>
      <c r="F1125" s="2">
        <v>28.5</v>
      </c>
      <c r="G1125" s="2">
        <v>0</v>
      </c>
      <c r="H1125" s="2" t="str">
        <f>VLOOKUP(A1125,Holidays!$A$2:$B$2107,2,1)</f>
        <v>N</v>
      </c>
      <c r="I1125" s="2" t="str">
        <f>VLOOKUP(A1125,Holidays!$A$2:$C$2107,3,1)</f>
        <v>N</v>
      </c>
    </row>
    <row r="1126" spans="1:9" x14ac:dyDescent="0.45">
      <c r="A1126" s="1">
        <v>43129</v>
      </c>
      <c r="B1126">
        <v>160437.565</v>
      </c>
      <c r="C1126">
        <v>107.6574249</v>
      </c>
      <c r="D1126" s="2">
        <v>27.8</v>
      </c>
      <c r="E1126" s="2">
        <v>33.5</v>
      </c>
      <c r="F1126" s="2">
        <v>7.3</v>
      </c>
      <c r="G1126" s="2">
        <v>0</v>
      </c>
      <c r="H1126" s="2" t="str">
        <f>VLOOKUP(A1126,Holidays!$A$2:$B$2107,2,1)</f>
        <v>N</v>
      </c>
      <c r="I1126" s="2" t="str">
        <f>VLOOKUP(A1126,Holidays!$A$2:$C$2107,3,1)</f>
        <v>N</v>
      </c>
    </row>
    <row r="1127" spans="1:9" x14ac:dyDescent="0.45">
      <c r="A1127" s="1">
        <v>43130</v>
      </c>
      <c r="B1127">
        <v>115239.57</v>
      </c>
      <c r="C1127">
        <v>78.574438810000004</v>
      </c>
      <c r="D1127" s="2">
        <v>15.6</v>
      </c>
      <c r="E1127" s="2">
        <v>21</v>
      </c>
      <c r="F1127" s="2">
        <v>14.1</v>
      </c>
      <c r="G1127" s="2">
        <v>38.799999999999997</v>
      </c>
      <c r="H1127" s="2" t="str">
        <f>VLOOKUP(A1127,Holidays!$A$2:$B$2107,2,1)</f>
        <v>N</v>
      </c>
      <c r="I1127" s="2" t="str">
        <f>VLOOKUP(A1127,Holidays!$A$2:$C$2107,3,1)</f>
        <v>N</v>
      </c>
    </row>
    <row r="1128" spans="1:9" x14ac:dyDescent="0.45">
      <c r="A1128" s="1">
        <v>43131</v>
      </c>
      <c r="B1128">
        <v>108524.18</v>
      </c>
      <c r="C1128">
        <v>65.217558049999994</v>
      </c>
      <c r="D1128" s="2">
        <v>14.6</v>
      </c>
      <c r="E1128" s="2">
        <v>19.100000000000001</v>
      </c>
      <c r="F1128" s="2">
        <v>19.600000000000001</v>
      </c>
      <c r="G1128" s="2">
        <v>0</v>
      </c>
      <c r="H1128" s="2" t="str">
        <f>VLOOKUP(A1128,Holidays!$A$2:$B$2107,2,1)</f>
        <v>Y</v>
      </c>
      <c r="I1128" s="2" t="str">
        <f>VLOOKUP(A1128,Holidays!$A$2:$C$2107,3,1)</f>
        <v>N</v>
      </c>
    </row>
    <row r="1129" spans="1:9" x14ac:dyDescent="0.45">
      <c r="A1129" s="1">
        <v>43132</v>
      </c>
      <c r="B1129">
        <v>109949.21</v>
      </c>
      <c r="C1129">
        <v>72.412229809999999</v>
      </c>
      <c r="D1129" s="2">
        <v>12.1</v>
      </c>
      <c r="E1129" s="2">
        <v>22.5</v>
      </c>
      <c r="F1129" s="2">
        <v>28.9</v>
      </c>
      <c r="G1129" s="2">
        <v>0.2</v>
      </c>
      <c r="H1129" s="2" t="str">
        <f>VLOOKUP(A1129,Holidays!$A$2:$B$2107,2,1)</f>
        <v>Y</v>
      </c>
      <c r="I1129" s="2" t="str">
        <f>VLOOKUP(A1129,Holidays!$A$2:$C$2107,3,1)</f>
        <v>N</v>
      </c>
    </row>
    <row r="1130" spans="1:9" x14ac:dyDescent="0.45">
      <c r="A1130" s="1">
        <v>43133</v>
      </c>
      <c r="B1130">
        <v>112946.34</v>
      </c>
      <c r="C1130">
        <v>80.454353729999994</v>
      </c>
      <c r="D1130" s="2">
        <v>13.4</v>
      </c>
      <c r="E1130" s="2">
        <v>22.1</v>
      </c>
      <c r="F1130" s="2">
        <v>28.4</v>
      </c>
      <c r="G1130" s="2">
        <v>0</v>
      </c>
      <c r="H1130" s="2" t="str">
        <f>VLOOKUP(A1130,Holidays!$A$2:$B$2107,2,1)</f>
        <v>Y</v>
      </c>
      <c r="I1130" s="2" t="str">
        <f>VLOOKUP(A1130,Holidays!$A$2:$C$2107,3,1)</f>
        <v>N</v>
      </c>
    </row>
    <row r="1131" spans="1:9" x14ac:dyDescent="0.45">
      <c r="A1131" s="1">
        <v>43134</v>
      </c>
      <c r="B1131">
        <v>104947.325</v>
      </c>
      <c r="C1131">
        <v>86.517007910000004</v>
      </c>
      <c r="D1131" s="2">
        <v>15.8</v>
      </c>
      <c r="E1131" s="2">
        <v>28.1</v>
      </c>
      <c r="F1131" s="2">
        <v>26.7</v>
      </c>
      <c r="G1131" s="2">
        <v>0</v>
      </c>
      <c r="H1131" s="2" t="str">
        <f>VLOOKUP(A1131,Holidays!$A$2:$B$2107,2,1)</f>
        <v>Y</v>
      </c>
      <c r="I1131" s="2" t="str">
        <f>VLOOKUP(A1131,Holidays!$A$2:$C$2107,3,1)</f>
        <v>N</v>
      </c>
    </row>
    <row r="1132" spans="1:9" x14ac:dyDescent="0.45">
      <c r="A1132" s="1">
        <v>43135</v>
      </c>
      <c r="B1132">
        <v>106065.935</v>
      </c>
      <c r="C1132">
        <v>98.921846560000006</v>
      </c>
      <c r="D1132" s="2">
        <v>14.7</v>
      </c>
      <c r="E1132" s="2">
        <v>25.7</v>
      </c>
      <c r="F1132" s="2">
        <v>28.5</v>
      </c>
      <c r="G1132" s="2">
        <v>0</v>
      </c>
      <c r="H1132" s="2" t="str">
        <f>VLOOKUP(A1132,Holidays!$A$2:$B$2107,2,1)</f>
        <v>Y</v>
      </c>
      <c r="I1132" s="2" t="str">
        <f>VLOOKUP(A1132,Holidays!$A$2:$C$2107,3,1)</f>
        <v>N</v>
      </c>
    </row>
    <row r="1133" spans="1:9" x14ac:dyDescent="0.45">
      <c r="A1133" s="1">
        <v>43136</v>
      </c>
      <c r="B1133">
        <v>126465.96</v>
      </c>
      <c r="C1133">
        <v>103.83019280000001</v>
      </c>
      <c r="D1133" s="2">
        <v>17</v>
      </c>
      <c r="E1133" s="2">
        <v>25.7</v>
      </c>
      <c r="F1133" s="2">
        <v>24</v>
      </c>
      <c r="G1133" s="2">
        <v>0</v>
      </c>
      <c r="H1133" s="2" t="str">
        <f>VLOOKUP(A1133,Holidays!$A$2:$B$2107,2,1)</f>
        <v>Y</v>
      </c>
      <c r="I1133" s="2" t="str">
        <f>VLOOKUP(A1133,Holidays!$A$2:$C$2107,3,1)</f>
        <v>N</v>
      </c>
    </row>
    <row r="1134" spans="1:9" x14ac:dyDescent="0.45">
      <c r="A1134" s="1">
        <v>43137</v>
      </c>
      <c r="B1134">
        <v>137539.72500000001</v>
      </c>
      <c r="C1134">
        <v>104.2296312</v>
      </c>
      <c r="D1134" s="2">
        <v>17.7</v>
      </c>
      <c r="E1134" s="2">
        <v>29.9</v>
      </c>
      <c r="F1134" s="2">
        <v>27.6</v>
      </c>
      <c r="G1134" s="2">
        <v>0</v>
      </c>
      <c r="H1134" s="2" t="str">
        <f>VLOOKUP(A1134,Holidays!$A$2:$B$2107,2,1)</f>
        <v>Y</v>
      </c>
      <c r="I1134" s="2" t="str">
        <f>VLOOKUP(A1134,Holidays!$A$2:$C$2107,3,1)</f>
        <v>N</v>
      </c>
    </row>
    <row r="1135" spans="1:9" x14ac:dyDescent="0.45">
      <c r="A1135" s="1">
        <v>43138</v>
      </c>
      <c r="B1135">
        <v>159307.315</v>
      </c>
      <c r="C1135">
        <v>624.26093430000003</v>
      </c>
      <c r="D1135" s="2">
        <v>18.7</v>
      </c>
      <c r="E1135" s="2">
        <v>37.4</v>
      </c>
      <c r="F1135" s="2">
        <v>27.1</v>
      </c>
      <c r="G1135" s="2">
        <v>0</v>
      </c>
      <c r="H1135" s="2" t="str">
        <f>VLOOKUP(A1135,Holidays!$A$2:$B$2107,2,1)</f>
        <v>Y</v>
      </c>
      <c r="I1135" s="2" t="str">
        <f>VLOOKUP(A1135,Holidays!$A$2:$C$2107,3,1)</f>
        <v>N</v>
      </c>
    </row>
    <row r="1136" spans="1:9" x14ac:dyDescent="0.45">
      <c r="A1136" s="1">
        <v>43139</v>
      </c>
      <c r="B1136">
        <v>149473.01</v>
      </c>
      <c r="C1136">
        <v>106.6526349</v>
      </c>
      <c r="D1136" s="2">
        <v>20.6</v>
      </c>
      <c r="E1136" s="2">
        <v>27.5</v>
      </c>
      <c r="F1136" s="2">
        <v>15.8</v>
      </c>
      <c r="G1136" s="2">
        <v>0</v>
      </c>
      <c r="H1136" s="2" t="str">
        <f>VLOOKUP(A1136,Holidays!$A$2:$B$2107,2,1)</f>
        <v>Y</v>
      </c>
      <c r="I1136" s="2" t="str">
        <f>VLOOKUP(A1136,Holidays!$A$2:$C$2107,3,1)</f>
        <v>N</v>
      </c>
    </row>
    <row r="1137" spans="1:9" x14ac:dyDescent="0.45">
      <c r="A1137" s="1">
        <v>43140</v>
      </c>
      <c r="B1137">
        <v>137101.87</v>
      </c>
      <c r="C1137">
        <v>113.7060807</v>
      </c>
      <c r="D1137" s="2">
        <v>20.399999999999999</v>
      </c>
      <c r="E1137" s="2">
        <v>24.9</v>
      </c>
      <c r="F1137" s="2">
        <v>17.2</v>
      </c>
      <c r="G1137" s="2">
        <v>0</v>
      </c>
      <c r="H1137" s="2" t="str">
        <f>VLOOKUP(A1137,Holidays!$A$2:$B$2107,2,1)</f>
        <v>Y</v>
      </c>
      <c r="I1137" s="2" t="str">
        <f>VLOOKUP(A1137,Holidays!$A$2:$C$2107,3,1)</f>
        <v>N</v>
      </c>
    </row>
    <row r="1138" spans="1:9" x14ac:dyDescent="0.45">
      <c r="A1138" s="1">
        <v>43141</v>
      </c>
      <c r="B1138">
        <v>118113.8</v>
      </c>
      <c r="C1138">
        <v>83.521526919999999</v>
      </c>
      <c r="D1138" s="2">
        <v>18.7</v>
      </c>
      <c r="E1138" s="2">
        <v>30.3</v>
      </c>
      <c r="F1138" s="2">
        <v>6.6</v>
      </c>
      <c r="G1138" s="2">
        <v>0</v>
      </c>
      <c r="H1138" s="2" t="str">
        <f>VLOOKUP(A1138,Holidays!$A$2:$B$2107,2,1)</f>
        <v>Y</v>
      </c>
      <c r="I1138" s="2" t="str">
        <f>VLOOKUP(A1138,Holidays!$A$2:$C$2107,3,1)</f>
        <v>N</v>
      </c>
    </row>
    <row r="1139" spans="1:9" x14ac:dyDescent="0.45">
      <c r="A1139" s="1">
        <v>43142</v>
      </c>
      <c r="B1139">
        <v>100440.29</v>
      </c>
      <c r="C1139">
        <v>66.272357439999993</v>
      </c>
      <c r="D1139" s="2">
        <v>15.5</v>
      </c>
      <c r="E1139" s="2">
        <v>21.2</v>
      </c>
      <c r="F1139" s="2">
        <v>18.5</v>
      </c>
      <c r="G1139" s="2">
        <v>0</v>
      </c>
      <c r="H1139" s="2" t="str">
        <f>VLOOKUP(A1139,Holidays!$A$2:$B$2107,2,1)</f>
        <v>Y</v>
      </c>
      <c r="I1139" s="2" t="str">
        <f>VLOOKUP(A1139,Holidays!$A$2:$C$2107,3,1)</f>
        <v>N</v>
      </c>
    </row>
    <row r="1140" spans="1:9" x14ac:dyDescent="0.45">
      <c r="A1140" s="1">
        <v>43143</v>
      </c>
      <c r="B1140">
        <v>116209.13</v>
      </c>
      <c r="C1140">
        <v>93.173935740000005</v>
      </c>
      <c r="D1140" s="2">
        <v>16.3</v>
      </c>
      <c r="E1140" s="2">
        <v>23.6</v>
      </c>
      <c r="F1140" s="2">
        <v>22.2</v>
      </c>
      <c r="G1140" s="2">
        <v>0</v>
      </c>
      <c r="H1140" s="2" t="str">
        <f>VLOOKUP(A1140,Holidays!$A$2:$B$2107,2,1)</f>
        <v>Y</v>
      </c>
      <c r="I1140" s="2" t="str">
        <f>VLOOKUP(A1140,Holidays!$A$2:$C$2107,3,1)</f>
        <v>N</v>
      </c>
    </row>
    <row r="1141" spans="1:9" x14ac:dyDescent="0.45">
      <c r="A1141" s="1">
        <v>43144</v>
      </c>
      <c r="B1141">
        <v>124882.715</v>
      </c>
      <c r="C1141">
        <v>99.609433350000003</v>
      </c>
      <c r="D1141" s="2">
        <v>13.6</v>
      </c>
      <c r="E1141" s="2">
        <v>29</v>
      </c>
      <c r="F1141" s="2">
        <v>26</v>
      </c>
      <c r="G1141" s="2">
        <v>0</v>
      </c>
      <c r="H1141" s="2" t="str">
        <f>VLOOKUP(A1141,Holidays!$A$2:$B$2107,2,1)</f>
        <v>Y</v>
      </c>
      <c r="I1141" s="2" t="str">
        <f>VLOOKUP(A1141,Holidays!$A$2:$C$2107,3,1)</f>
        <v>N</v>
      </c>
    </row>
    <row r="1142" spans="1:9" x14ac:dyDescent="0.45">
      <c r="A1142" s="1">
        <v>43145</v>
      </c>
      <c r="B1142">
        <v>115269.5</v>
      </c>
      <c r="C1142">
        <v>72.046428359999993</v>
      </c>
      <c r="D1142" s="2">
        <v>17.5</v>
      </c>
      <c r="E1142" s="2">
        <v>23.3</v>
      </c>
      <c r="F1142" s="2">
        <v>22.8</v>
      </c>
      <c r="G1142" s="2">
        <v>0</v>
      </c>
      <c r="H1142" s="2" t="str">
        <f>VLOOKUP(A1142,Holidays!$A$2:$B$2107,2,1)</f>
        <v>Y</v>
      </c>
      <c r="I1142" s="2" t="str">
        <f>VLOOKUP(A1142,Holidays!$A$2:$C$2107,3,1)</f>
        <v>N</v>
      </c>
    </row>
    <row r="1143" spans="1:9" x14ac:dyDescent="0.45">
      <c r="A1143" s="1">
        <v>43146</v>
      </c>
      <c r="B1143">
        <v>117260.245</v>
      </c>
      <c r="C1143">
        <v>83.187740950000006</v>
      </c>
      <c r="D1143" s="2">
        <v>13.5</v>
      </c>
      <c r="E1143" s="2">
        <v>24.2</v>
      </c>
      <c r="F1143" s="2">
        <v>18.399999999999999</v>
      </c>
      <c r="G1143" s="2">
        <v>0</v>
      </c>
      <c r="H1143" s="2" t="str">
        <f>VLOOKUP(A1143,Holidays!$A$2:$B$2107,2,1)</f>
        <v>Y</v>
      </c>
      <c r="I1143" s="2" t="str">
        <f>VLOOKUP(A1143,Holidays!$A$2:$C$2107,3,1)</f>
        <v>N</v>
      </c>
    </row>
    <row r="1144" spans="1:9" x14ac:dyDescent="0.45">
      <c r="A1144" s="1">
        <v>43147</v>
      </c>
      <c r="B1144">
        <v>114736.355</v>
      </c>
      <c r="C1144">
        <v>86.835346319999999</v>
      </c>
      <c r="D1144" s="2">
        <v>15.7</v>
      </c>
      <c r="E1144" s="2">
        <v>22.2</v>
      </c>
      <c r="F1144" s="2">
        <v>24.8</v>
      </c>
      <c r="G1144" s="2">
        <v>0</v>
      </c>
      <c r="H1144" s="2" t="str">
        <f>VLOOKUP(A1144,Holidays!$A$2:$B$2107,2,1)</f>
        <v>Y</v>
      </c>
      <c r="I1144" s="2" t="str">
        <f>VLOOKUP(A1144,Holidays!$A$2:$C$2107,3,1)</f>
        <v>N</v>
      </c>
    </row>
    <row r="1145" spans="1:9" x14ac:dyDescent="0.45">
      <c r="A1145" s="1">
        <v>43148</v>
      </c>
      <c r="B1145">
        <v>105799.935</v>
      </c>
      <c r="C1145">
        <v>82.758307090000002</v>
      </c>
      <c r="D1145" s="2">
        <v>12.4</v>
      </c>
      <c r="E1145" s="2">
        <v>25.3</v>
      </c>
      <c r="F1145" s="2">
        <v>24.1</v>
      </c>
      <c r="G1145" s="2">
        <v>0</v>
      </c>
      <c r="H1145" s="2" t="str">
        <f>VLOOKUP(A1145,Holidays!$A$2:$B$2107,2,1)</f>
        <v>Y</v>
      </c>
      <c r="I1145" s="2" t="str">
        <f>VLOOKUP(A1145,Holidays!$A$2:$C$2107,3,1)</f>
        <v>N</v>
      </c>
    </row>
    <row r="1146" spans="1:9" x14ac:dyDescent="0.45">
      <c r="A1146" s="1">
        <v>43149</v>
      </c>
      <c r="B1146">
        <v>105085.515</v>
      </c>
      <c r="C1146">
        <v>77.337616229999995</v>
      </c>
      <c r="D1146" s="2">
        <v>13.6</v>
      </c>
      <c r="E1146" s="2">
        <v>24</v>
      </c>
      <c r="F1146" s="2">
        <v>20.5</v>
      </c>
      <c r="G1146" s="2">
        <v>0</v>
      </c>
      <c r="H1146" s="2" t="str">
        <f>VLOOKUP(A1146,Holidays!$A$2:$B$2107,2,1)</f>
        <v>Y</v>
      </c>
      <c r="I1146" s="2" t="str">
        <f>VLOOKUP(A1146,Holidays!$A$2:$C$2107,3,1)</f>
        <v>N</v>
      </c>
    </row>
    <row r="1147" spans="1:9" x14ac:dyDescent="0.45">
      <c r="A1147" s="1">
        <v>43150</v>
      </c>
      <c r="B1147">
        <v>113116.425</v>
      </c>
      <c r="C1147">
        <v>74.677828180000006</v>
      </c>
      <c r="D1147" s="2">
        <v>17.600000000000001</v>
      </c>
      <c r="E1147" s="2">
        <v>25.4</v>
      </c>
      <c r="F1147" s="2">
        <v>20.9</v>
      </c>
      <c r="G1147" s="2">
        <v>0.8</v>
      </c>
      <c r="H1147" s="2" t="str">
        <f>VLOOKUP(A1147,Holidays!$A$2:$B$2107,2,1)</f>
        <v>Y</v>
      </c>
      <c r="I1147" s="2" t="str">
        <f>VLOOKUP(A1147,Holidays!$A$2:$C$2107,3,1)</f>
        <v>N</v>
      </c>
    </row>
    <row r="1148" spans="1:9" x14ac:dyDescent="0.45">
      <c r="A1148" s="1">
        <v>43151</v>
      </c>
      <c r="B1148">
        <v>120035.38499999999</v>
      </c>
      <c r="C1148">
        <v>78.800517830000004</v>
      </c>
      <c r="D1148" s="2">
        <v>14.1</v>
      </c>
      <c r="E1148" s="2">
        <v>29.5</v>
      </c>
      <c r="F1148" s="2">
        <v>25.5</v>
      </c>
      <c r="G1148" s="2">
        <v>0</v>
      </c>
      <c r="H1148" s="2" t="str">
        <f>VLOOKUP(A1148,Holidays!$A$2:$B$2107,2,1)</f>
        <v>Y</v>
      </c>
      <c r="I1148" s="2" t="str">
        <f>VLOOKUP(A1148,Holidays!$A$2:$C$2107,3,1)</f>
        <v>N</v>
      </c>
    </row>
    <row r="1149" spans="1:9" x14ac:dyDescent="0.45">
      <c r="A1149" s="1">
        <v>43152</v>
      </c>
      <c r="B1149">
        <v>124481.41499999999</v>
      </c>
      <c r="C1149">
        <v>84.555739439999996</v>
      </c>
      <c r="D1149" s="2">
        <v>16</v>
      </c>
      <c r="E1149" s="2">
        <v>29.3</v>
      </c>
      <c r="F1149" s="2">
        <v>16</v>
      </c>
      <c r="G1149" s="2">
        <v>0</v>
      </c>
      <c r="H1149" s="2" t="str">
        <f>VLOOKUP(A1149,Holidays!$A$2:$B$2107,2,1)</f>
        <v>Y</v>
      </c>
      <c r="I1149" s="2" t="str">
        <f>VLOOKUP(A1149,Holidays!$A$2:$C$2107,3,1)</f>
        <v>N</v>
      </c>
    </row>
    <row r="1150" spans="1:9" x14ac:dyDescent="0.45">
      <c r="A1150" s="1">
        <v>43153</v>
      </c>
      <c r="B1150">
        <v>133607.065</v>
      </c>
      <c r="C1150">
        <v>88.847838789999997</v>
      </c>
      <c r="D1150" s="2">
        <v>20.3</v>
      </c>
      <c r="E1150" s="2">
        <v>31</v>
      </c>
      <c r="F1150" s="2">
        <v>16.8</v>
      </c>
      <c r="G1150" s="2">
        <v>0</v>
      </c>
      <c r="H1150" s="2" t="str">
        <f>VLOOKUP(A1150,Holidays!$A$2:$B$2107,2,1)</f>
        <v>Y</v>
      </c>
      <c r="I1150" s="2" t="str">
        <f>VLOOKUP(A1150,Holidays!$A$2:$C$2107,3,1)</f>
        <v>N</v>
      </c>
    </row>
    <row r="1151" spans="1:9" x14ac:dyDescent="0.45">
      <c r="A1151" s="1">
        <v>43154</v>
      </c>
      <c r="B1151">
        <v>136328.345</v>
      </c>
      <c r="C1151">
        <v>85.713196379999999</v>
      </c>
      <c r="D1151" s="2">
        <v>21.2</v>
      </c>
      <c r="E1151" s="2">
        <v>33.5</v>
      </c>
      <c r="F1151" s="2">
        <v>13.4</v>
      </c>
      <c r="G1151" s="2">
        <v>0.2</v>
      </c>
      <c r="H1151" s="2" t="str">
        <f>VLOOKUP(A1151,Holidays!$A$2:$B$2107,2,1)</f>
        <v>Y</v>
      </c>
      <c r="I1151" s="2" t="str">
        <f>VLOOKUP(A1151,Holidays!$A$2:$C$2107,3,1)</f>
        <v>N</v>
      </c>
    </row>
    <row r="1152" spans="1:9" x14ac:dyDescent="0.45">
      <c r="A1152" s="1">
        <v>43155</v>
      </c>
      <c r="B1152">
        <v>119226.435</v>
      </c>
      <c r="C1152">
        <v>75.07065351</v>
      </c>
      <c r="D1152" s="2">
        <v>22.7</v>
      </c>
      <c r="E1152" s="2">
        <v>31.6</v>
      </c>
      <c r="F1152" s="2">
        <v>4.8</v>
      </c>
      <c r="G1152" s="2">
        <v>0.4</v>
      </c>
      <c r="H1152" s="2" t="str">
        <f>VLOOKUP(A1152,Holidays!$A$2:$B$2107,2,1)</f>
        <v>Y</v>
      </c>
      <c r="I1152" s="2" t="str">
        <f>VLOOKUP(A1152,Holidays!$A$2:$C$2107,3,1)</f>
        <v>N</v>
      </c>
    </row>
    <row r="1153" spans="1:9" x14ac:dyDescent="0.45">
      <c r="A1153" s="1">
        <v>43156</v>
      </c>
      <c r="B1153">
        <v>96305.07</v>
      </c>
      <c r="C1153">
        <v>55.999394809999998</v>
      </c>
      <c r="D1153" s="2">
        <v>16.2</v>
      </c>
      <c r="E1153" s="2">
        <v>19.8</v>
      </c>
      <c r="F1153" s="2">
        <v>10</v>
      </c>
      <c r="G1153" s="2">
        <v>0</v>
      </c>
      <c r="H1153" s="2" t="str">
        <f>VLOOKUP(A1153,Holidays!$A$2:$B$2107,2,1)</f>
        <v>Y</v>
      </c>
      <c r="I1153" s="2" t="str">
        <f>VLOOKUP(A1153,Holidays!$A$2:$C$2107,3,1)</f>
        <v>N</v>
      </c>
    </row>
    <row r="1154" spans="1:9" x14ac:dyDescent="0.45">
      <c r="A1154" s="1">
        <v>43157</v>
      </c>
      <c r="B1154">
        <v>117952.36500000001</v>
      </c>
      <c r="C1154">
        <v>76.805514340000002</v>
      </c>
      <c r="D1154" s="2">
        <v>14.3</v>
      </c>
      <c r="E1154" s="2">
        <v>26.5</v>
      </c>
      <c r="F1154" s="2">
        <v>24.3</v>
      </c>
      <c r="G1154" s="2">
        <v>0</v>
      </c>
      <c r="H1154" s="2" t="str">
        <f>VLOOKUP(A1154,Holidays!$A$2:$B$2107,2,1)</f>
        <v>Y</v>
      </c>
      <c r="I1154" s="2" t="str">
        <f>VLOOKUP(A1154,Holidays!$A$2:$C$2107,3,1)</f>
        <v>N</v>
      </c>
    </row>
    <row r="1155" spans="1:9" x14ac:dyDescent="0.45">
      <c r="A1155" s="1">
        <v>43158</v>
      </c>
      <c r="B1155">
        <v>127894.285</v>
      </c>
      <c r="C1155">
        <v>73.635400590000003</v>
      </c>
      <c r="D1155" s="2">
        <v>14.9</v>
      </c>
      <c r="E1155" s="2">
        <v>31.3</v>
      </c>
      <c r="F1155" s="2">
        <v>24</v>
      </c>
      <c r="G1155" s="2">
        <v>0</v>
      </c>
      <c r="H1155" s="2" t="str">
        <f>VLOOKUP(A1155,Holidays!$A$2:$B$2107,2,1)</f>
        <v>Y</v>
      </c>
      <c r="I1155" s="2" t="str">
        <f>VLOOKUP(A1155,Holidays!$A$2:$C$2107,3,1)</f>
        <v>N</v>
      </c>
    </row>
    <row r="1156" spans="1:9" x14ac:dyDescent="0.45">
      <c r="A1156" s="1">
        <v>43159</v>
      </c>
      <c r="B1156">
        <v>123400.17</v>
      </c>
      <c r="C1156">
        <v>69.092841730000004</v>
      </c>
      <c r="D1156" s="2">
        <v>20</v>
      </c>
      <c r="E1156" s="2">
        <v>30.9</v>
      </c>
      <c r="F1156" s="2">
        <v>19.600000000000001</v>
      </c>
      <c r="G1156" s="2">
        <v>0</v>
      </c>
      <c r="H1156" s="2" t="str">
        <f>VLOOKUP(A1156,Holidays!$A$2:$B$2107,2,1)</f>
        <v>Y</v>
      </c>
      <c r="I1156" s="2" t="str">
        <f>VLOOKUP(A1156,Holidays!$A$2:$C$2107,3,1)</f>
        <v>N</v>
      </c>
    </row>
    <row r="1157" spans="1:9" x14ac:dyDescent="0.45">
      <c r="A1157" s="1">
        <v>43160</v>
      </c>
      <c r="B1157">
        <v>117346.26</v>
      </c>
      <c r="C1157">
        <v>78.60161635</v>
      </c>
      <c r="D1157" s="2">
        <v>16.2</v>
      </c>
      <c r="E1157" s="2">
        <v>20.5</v>
      </c>
      <c r="F1157" s="2">
        <v>17.7</v>
      </c>
      <c r="G1157" s="2">
        <v>0.8</v>
      </c>
      <c r="H1157" s="2" t="str">
        <f>VLOOKUP(A1157,Holidays!$A$2:$B$2107,2,1)</f>
        <v>Y</v>
      </c>
      <c r="I1157" s="2" t="str">
        <f>VLOOKUP(A1157,Holidays!$A$2:$C$2107,3,1)</f>
        <v>N</v>
      </c>
    </row>
    <row r="1158" spans="1:9" x14ac:dyDescent="0.45">
      <c r="A1158" s="1">
        <v>43161</v>
      </c>
      <c r="B1158">
        <v>119960.33</v>
      </c>
      <c r="C1158">
        <v>91.866531140000006</v>
      </c>
      <c r="D1158" s="2">
        <v>14.5</v>
      </c>
      <c r="E1158" s="2">
        <v>22.8</v>
      </c>
      <c r="F1158" s="2">
        <v>19.600000000000001</v>
      </c>
      <c r="G1158" s="2">
        <v>0.4</v>
      </c>
      <c r="H1158" s="2" t="str">
        <f>VLOOKUP(A1158,Holidays!$A$2:$B$2107,2,1)</f>
        <v>Y</v>
      </c>
      <c r="I1158" s="2" t="str">
        <f>VLOOKUP(A1158,Holidays!$A$2:$C$2107,3,1)</f>
        <v>N</v>
      </c>
    </row>
    <row r="1159" spans="1:9" x14ac:dyDescent="0.45">
      <c r="A1159" s="1">
        <v>43162</v>
      </c>
      <c r="B1159">
        <v>111096.30499999999</v>
      </c>
      <c r="C1159">
        <v>80.624052259999999</v>
      </c>
      <c r="D1159" s="2">
        <v>13.9</v>
      </c>
      <c r="E1159" s="2">
        <v>32.700000000000003</v>
      </c>
      <c r="F1159" s="2">
        <v>21.8</v>
      </c>
      <c r="G1159" s="2">
        <v>0</v>
      </c>
      <c r="H1159" s="2" t="str">
        <f>VLOOKUP(A1159,Holidays!$A$2:$B$2107,2,1)</f>
        <v>Y</v>
      </c>
      <c r="I1159" s="2" t="str">
        <f>VLOOKUP(A1159,Holidays!$A$2:$C$2107,3,1)</f>
        <v>N</v>
      </c>
    </row>
    <row r="1160" spans="1:9" x14ac:dyDescent="0.45">
      <c r="A1160" s="1">
        <v>43163</v>
      </c>
      <c r="B1160">
        <v>101334.2</v>
      </c>
      <c r="C1160">
        <v>72.599066879999995</v>
      </c>
      <c r="D1160" s="2">
        <v>15.8</v>
      </c>
      <c r="E1160" s="2">
        <v>21</v>
      </c>
      <c r="F1160" s="2">
        <v>22.2</v>
      </c>
      <c r="G1160" s="2">
        <v>0</v>
      </c>
      <c r="H1160" s="2" t="str">
        <f>VLOOKUP(A1160,Holidays!$A$2:$B$2107,2,1)</f>
        <v>Y</v>
      </c>
      <c r="I1160" s="2" t="str">
        <f>VLOOKUP(A1160,Holidays!$A$2:$C$2107,3,1)</f>
        <v>N</v>
      </c>
    </row>
    <row r="1161" spans="1:9" x14ac:dyDescent="0.45">
      <c r="A1161" s="1">
        <v>43164</v>
      </c>
      <c r="B1161">
        <v>112527.285</v>
      </c>
      <c r="C1161">
        <v>70.615557719999998</v>
      </c>
      <c r="D1161" s="2">
        <v>14.9</v>
      </c>
      <c r="E1161" s="2">
        <v>21.1</v>
      </c>
      <c r="F1161" s="2">
        <v>16.600000000000001</v>
      </c>
      <c r="G1161" s="2">
        <v>0</v>
      </c>
      <c r="H1161" s="2" t="str">
        <f>VLOOKUP(A1161,Holidays!$A$2:$B$2107,2,1)</f>
        <v>Y</v>
      </c>
      <c r="I1161" s="2" t="str">
        <f>VLOOKUP(A1161,Holidays!$A$2:$C$2107,3,1)</f>
        <v>N</v>
      </c>
    </row>
    <row r="1162" spans="1:9" x14ac:dyDescent="0.45">
      <c r="A1162" s="1">
        <v>43165</v>
      </c>
      <c r="B1162">
        <v>113850.81</v>
      </c>
      <c r="C1162">
        <v>61.354685359999998</v>
      </c>
      <c r="D1162" s="2">
        <v>12.5</v>
      </c>
      <c r="E1162" s="2">
        <v>27.6</v>
      </c>
      <c r="F1162" s="2">
        <v>22.6</v>
      </c>
      <c r="G1162" s="2">
        <v>0</v>
      </c>
      <c r="H1162" s="2" t="str">
        <f>VLOOKUP(A1162,Holidays!$A$2:$B$2107,2,1)</f>
        <v>Y</v>
      </c>
      <c r="I1162" s="2" t="str">
        <f>VLOOKUP(A1162,Holidays!$A$2:$C$2107,3,1)</f>
        <v>N</v>
      </c>
    </row>
    <row r="1163" spans="1:9" x14ac:dyDescent="0.45">
      <c r="A1163" s="1">
        <v>43166</v>
      </c>
      <c r="B1163">
        <v>122717.5</v>
      </c>
      <c r="C1163">
        <v>73.26754588</v>
      </c>
      <c r="D1163" s="2">
        <v>14.4</v>
      </c>
      <c r="E1163" s="2">
        <v>28.5</v>
      </c>
      <c r="F1163" s="2">
        <v>22.4</v>
      </c>
      <c r="G1163" s="2">
        <v>0</v>
      </c>
      <c r="H1163" s="2" t="str">
        <f>VLOOKUP(A1163,Holidays!$A$2:$B$2107,2,1)</f>
        <v>Y</v>
      </c>
      <c r="I1163" s="2" t="str">
        <f>VLOOKUP(A1163,Holidays!$A$2:$C$2107,3,1)</f>
        <v>N</v>
      </c>
    </row>
    <row r="1164" spans="1:9" x14ac:dyDescent="0.45">
      <c r="A1164" s="1">
        <v>43167</v>
      </c>
      <c r="B1164">
        <v>128732.59</v>
      </c>
      <c r="C1164">
        <v>94.574270459999994</v>
      </c>
      <c r="D1164" s="2">
        <v>14.9</v>
      </c>
      <c r="E1164" s="2">
        <v>30.5</v>
      </c>
      <c r="F1164" s="2">
        <v>22.1</v>
      </c>
      <c r="G1164" s="2">
        <v>0</v>
      </c>
      <c r="H1164" s="2" t="str">
        <f>VLOOKUP(A1164,Holidays!$A$2:$B$2107,2,1)</f>
        <v>Y</v>
      </c>
      <c r="I1164" s="2" t="str">
        <f>VLOOKUP(A1164,Holidays!$A$2:$C$2107,3,1)</f>
        <v>N</v>
      </c>
    </row>
    <row r="1165" spans="1:9" x14ac:dyDescent="0.45">
      <c r="A1165" s="1">
        <v>43168</v>
      </c>
      <c r="B1165">
        <v>127805.485</v>
      </c>
      <c r="C1165">
        <v>99.170499149999998</v>
      </c>
      <c r="D1165" s="2">
        <v>14.6</v>
      </c>
      <c r="E1165" s="2">
        <v>28.8</v>
      </c>
      <c r="F1165" s="2">
        <v>21.9</v>
      </c>
      <c r="G1165" s="2">
        <v>0</v>
      </c>
      <c r="H1165" s="2" t="str">
        <f>VLOOKUP(A1165,Holidays!$A$2:$B$2107,2,1)</f>
        <v>Y</v>
      </c>
      <c r="I1165" s="2" t="str">
        <f>VLOOKUP(A1165,Holidays!$A$2:$C$2107,3,1)</f>
        <v>N</v>
      </c>
    </row>
    <row r="1166" spans="1:9" x14ac:dyDescent="0.45">
      <c r="A1166" s="1">
        <v>43169</v>
      </c>
      <c r="B1166">
        <v>120398.88499999999</v>
      </c>
      <c r="C1166">
        <v>91.988443200000006</v>
      </c>
      <c r="D1166" s="2">
        <v>14.3</v>
      </c>
      <c r="E1166" s="2">
        <v>35.1</v>
      </c>
      <c r="F1166" s="2">
        <v>21.6</v>
      </c>
      <c r="G1166" s="2">
        <v>0</v>
      </c>
      <c r="H1166" s="2" t="str">
        <f>VLOOKUP(A1166,Holidays!$A$2:$B$2107,2,1)</f>
        <v>Y</v>
      </c>
      <c r="I1166" s="2" t="str">
        <f>VLOOKUP(A1166,Holidays!$A$2:$C$2107,3,1)</f>
        <v>N</v>
      </c>
    </row>
    <row r="1167" spans="1:9" x14ac:dyDescent="0.45">
      <c r="A1167" s="1">
        <v>43170</v>
      </c>
      <c r="B1167">
        <v>104486.18</v>
      </c>
      <c r="C1167">
        <v>74.152652579999994</v>
      </c>
      <c r="D1167" s="2">
        <v>17</v>
      </c>
      <c r="E1167" s="2">
        <v>22.8</v>
      </c>
      <c r="F1167" s="2">
        <v>14.3</v>
      </c>
      <c r="G1167" s="2">
        <v>0</v>
      </c>
      <c r="H1167" s="2" t="str">
        <f>VLOOKUP(A1167,Holidays!$A$2:$B$2107,2,1)</f>
        <v>Y</v>
      </c>
      <c r="I1167" s="2" t="str">
        <f>VLOOKUP(A1167,Holidays!$A$2:$C$2107,3,1)</f>
        <v>N</v>
      </c>
    </row>
    <row r="1168" spans="1:9" x14ac:dyDescent="0.45">
      <c r="A1168" s="1">
        <v>43171</v>
      </c>
      <c r="B1168">
        <v>97542.31</v>
      </c>
      <c r="C1168">
        <v>63.452204719999997</v>
      </c>
      <c r="D1168" s="2">
        <v>16.7</v>
      </c>
      <c r="E1168" s="2">
        <v>20.9</v>
      </c>
      <c r="F1168" s="2">
        <v>10.199999999999999</v>
      </c>
      <c r="G1168" s="2">
        <v>0</v>
      </c>
      <c r="H1168" s="2" t="str">
        <f>VLOOKUP(A1168,Holidays!$A$2:$B$2107,2,1)</f>
        <v>Y</v>
      </c>
      <c r="I1168" s="2" t="str">
        <f>VLOOKUP(A1168,Holidays!$A$2:$C$2107,3,1)</f>
        <v>Y</v>
      </c>
    </row>
    <row r="1169" spans="1:9" x14ac:dyDescent="0.45">
      <c r="A1169" s="1">
        <v>43172</v>
      </c>
      <c r="B1169">
        <v>112663.625</v>
      </c>
      <c r="C1169">
        <v>77.094966779999993</v>
      </c>
      <c r="D1169" s="2">
        <v>14.6</v>
      </c>
      <c r="E1169" s="2">
        <v>20.5</v>
      </c>
      <c r="F1169" s="2">
        <v>18.8</v>
      </c>
      <c r="G1169" s="2">
        <v>2.2000000000000002</v>
      </c>
      <c r="H1169" s="2" t="str">
        <f>VLOOKUP(A1169,Holidays!$A$2:$B$2107,2,1)</f>
        <v>Y</v>
      </c>
      <c r="I1169" s="2" t="str">
        <f>VLOOKUP(A1169,Holidays!$A$2:$C$2107,3,1)</f>
        <v>N</v>
      </c>
    </row>
    <row r="1170" spans="1:9" x14ac:dyDescent="0.45">
      <c r="A1170" s="1">
        <v>43173</v>
      </c>
      <c r="B1170">
        <v>114195.35</v>
      </c>
      <c r="C1170">
        <v>97.281748919999998</v>
      </c>
      <c r="D1170" s="2">
        <v>12.8</v>
      </c>
      <c r="E1170" s="2">
        <v>21.3</v>
      </c>
      <c r="F1170" s="2">
        <v>17.7</v>
      </c>
      <c r="G1170" s="2">
        <v>0</v>
      </c>
      <c r="H1170" s="2" t="str">
        <f>VLOOKUP(A1170,Holidays!$A$2:$B$2107,2,1)</f>
        <v>Y</v>
      </c>
      <c r="I1170" s="2" t="str">
        <f>VLOOKUP(A1170,Holidays!$A$2:$C$2107,3,1)</f>
        <v>N</v>
      </c>
    </row>
    <row r="1171" spans="1:9" x14ac:dyDescent="0.45">
      <c r="A1171" s="1">
        <v>43174</v>
      </c>
      <c r="B1171">
        <v>116045.27</v>
      </c>
      <c r="C1171">
        <v>101.6909409</v>
      </c>
      <c r="D1171" s="2">
        <v>15.3</v>
      </c>
      <c r="E1171" s="2">
        <v>20.8</v>
      </c>
      <c r="F1171" s="2">
        <v>13.9</v>
      </c>
      <c r="G1171" s="2">
        <v>0</v>
      </c>
      <c r="H1171" s="2" t="str">
        <f>VLOOKUP(A1171,Holidays!$A$2:$B$2107,2,1)</f>
        <v>Y</v>
      </c>
      <c r="I1171" s="2" t="str">
        <f>VLOOKUP(A1171,Holidays!$A$2:$C$2107,3,1)</f>
        <v>N</v>
      </c>
    </row>
    <row r="1172" spans="1:9" x14ac:dyDescent="0.45">
      <c r="A1172" s="1">
        <v>43175</v>
      </c>
      <c r="B1172">
        <v>116284.345</v>
      </c>
      <c r="C1172">
        <v>92.594232239999997</v>
      </c>
      <c r="D1172" s="2">
        <v>12.5</v>
      </c>
      <c r="E1172" s="2">
        <v>24.4</v>
      </c>
      <c r="F1172" s="2">
        <v>15</v>
      </c>
      <c r="G1172" s="2">
        <v>0</v>
      </c>
      <c r="H1172" s="2" t="str">
        <f>VLOOKUP(A1172,Holidays!$A$2:$B$2107,2,1)</f>
        <v>Y</v>
      </c>
      <c r="I1172" s="2" t="str">
        <f>VLOOKUP(A1172,Holidays!$A$2:$C$2107,3,1)</f>
        <v>N</v>
      </c>
    </row>
    <row r="1173" spans="1:9" x14ac:dyDescent="0.45">
      <c r="A1173" s="1">
        <v>43176</v>
      </c>
      <c r="B1173">
        <v>110715.12</v>
      </c>
      <c r="C1173">
        <v>75.229994289999993</v>
      </c>
      <c r="D1173" s="2">
        <v>15.4</v>
      </c>
      <c r="E1173" s="2">
        <v>32</v>
      </c>
      <c r="F1173" s="2">
        <v>15.1</v>
      </c>
      <c r="G1173" s="2">
        <v>0</v>
      </c>
      <c r="H1173" s="2" t="str">
        <f>VLOOKUP(A1173,Holidays!$A$2:$B$2107,2,1)</f>
        <v>Y</v>
      </c>
      <c r="I1173" s="2" t="str">
        <f>VLOOKUP(A1173,Holidays!$A$2:$C$2107,3,1)</f>
        <v>N</v>
      </c>
    </row>
    <row r="1174" spans="1:9" x14ac:dyDescent="0.45">
      <c r="A1174" s="1">
        <v>43177</v>
      </c>
      <c r="B1174">
        <v>97262.705000000002</v>
      </c>
      <c r="C1174">
        <v>62.872760649999996</v>
      </c>
      <c r="D1174" s="2">
        <v>22.6</v>
      </c>
      <c r="E1174" s="2">
        <v>23.1</v>
      </c>
      <c r="F1174" s="2">
        <v>13.4</v>
      </c>
      <c r="G1174" s="2">
        <v>0</v>
      </c>
      <c r="H1174" s="2" t="str">
        <f>VLOOKUP(A1174,Holidays!$A$2:$B$2107,2,1)</f>
        <v>Y</v>
      </c>
      <c r="I1174" s="2" t="str">
        <f>VLOOKUP(A1174,Holidays!$A$2:$C$2107,3,1)</f>
        <v>N</v>
      </c>
    </row>
    <row r="1175" spans="1:9" x14ac:dyDescent="0.45">
      <c r="A1175" s="1">
        <v>43178</v>
      </c>
      <c r="B1175">
        <v>111617.94500000001</v>
      </c>
      <c r="C1175">
        <v>77.170165359999999</v>
      </c>
      <c r="D1175" s="2">
        <v>13.2</v>
      </c>
      <c r="E1175" s="2">
        <v>28</v>
      </c>
      <c r="F1175" s="2">
        <v>17.8</v>
      </c>
      <c r="G1175" s="2">
        <v>0</v>
      </c>
      <c r="H1175" s="2" t="str">
        <f>VLOOKUP(A1175,Holidays!$A$2:$B$2107,2,1)</f>
        <v>Y</v>
      </c>
      <c r="I1175" s="2" t="str">
        <f>VLOOKUP(A1175,Holidays!$A$2:$C$2107,3,1)</f>
        <v>N</v>
      </c>
    </row>
    <row r="1176" spans="1:9" x14ac:dyDescent="0.45">
      <c r="A1176" s="1">
        <v>43179</v>
      </c>
      <c r="B1176">
        <v>110794.26</v>
      </c>
      <c r="C1176">
        <v>72.75516331</v>
      </c>
      <c r="D1176" s="2">
        <v>15.4</v>
      </c>
      <c r="E1176" s="2">
        <v>19.2</v>
      </c>
      <c r="F1176" s="2">
        <v>9.5</v>
      </c>
      <c r="G1176" s="2">
        <v>0.2</v>
      </c>
      <c r="H1176" s="2" t="str">
        <f>VLOOKUP(A1176,Holidays!$A$2:$B$2107,2,1)</f>
        <v>Y</v>
      </c>
      <c r="I1176" s="2" t="str">
        <f>VLOOKUP(A1176,Holidays!$A$2:$C$2107,3,1)</f>
        <v>N</v>
      </c>
    </row>
    <row r="1177" spans="1:9" x14ac:dyDescent="0.45">
      <c r="A1177" s="1">
        <v>43180</v>
      </c>
      <c r="B1177">
        <v>111254.315</v>
      </c>
      <c r="C1177">
        <v>71.198345349999997</v>
      </c>
      <c r="D1177" s="2">
        <v>11.2</v>
      </c>
      <c r="E1177" s="2">
        <v>25.1</v>
      </c>
      <c r="F1177" s="2">
        <v>18.3</v>
      </c>
      <c r="G1177" s="2">
        <v>0</v>
      </c>
      <c r="H1177" s="2" t="str">
        <f>VLOOKUP(A1177,Holidays!$A$2:$B$2107,2,1)</f>
        <v>Y</v>
      </c>
      <c r="I1177" s="2" t="str">
        <f>VLOOKUP(A1177,Holidays!$A$2:$C$2107,3,1)</f>
        <v>N</v>
      </c>
    </row>
    <row r="1178" spans="1:9" x14ac:dyDescent="0.45">
      <c r="A1178" s="1">
        <v>43181</v>
      </c>
      <c r="B1178">
        <v>115020.505</v>
      </c>
      <c r="C1178">
        <v>77.280427599999996</v>
      </c>
      <c r="D1178" s="2">
        <v>12.3</v>
      </c>
      <c r="E1178" s="2">
        <v>28.1</v>
      </c>
      <c r="F1178" s="2">
        <v>19</v>
      </c>
      <c r="G1178" s="2">
        <v>0</v>
      </c>
      <c r="H1178" s="2" t="str">
        <f>VLOOKUP(A1178,Holidays!$A$2:$B$2107,2,1)</f>
        <v>Y</v>
      </c>
      <c r="I1178" s="2" t="str">
        <f>VLOOKUP(A1178,Holidays!$A$2:$C$2107,3,1)</f>
        <v>N</v>
      </c>
    </row>
    <row r="1179" spans="1:9" x14ac:dyDescent="0.45">
      <c r="A1179" s="1">
        <v>43182</v>
      </c>
      <c r="B1179">
        <v>119298.325</v>
      </c>
      <c r="C1179">
        <v>78.640442410000006</v>
      </c>
      <c r="D1179" s="2">
        <v>15.2</v>
      </c>
      <c r="E1179" s="2">
        <v>29.4</v>
      </c>
      <c r="F1179" s="2">
        <v>18.8</v>
      </c>
      <c r="G1179" s="2">
        <v>0</v>
      </c>
      <c r="H1179" s="2" t="str">
        <f>VLOOKUP(A1179,Holidays!$A$2:$B$2107,2,1)</f>
        <v>Y</v>
      </c>
      <c r="I1179" s="2" t="str">
        <f>VLOOKUP(A1179,Holidays!$A$2:$C$2107,3,1)</f>
        <v>N</v>
      </c>
    </row>
    <row r="1180" spans="1:9" x14ac:dyDescent="0.45">
      <c r="A1180" s="1">
        <v>43183</v>
      </c>
      <c r="B1180">
        <v>112312.69500000001</v>
      </c>
      <c r="C1180">
        <v>71.966619069999993</v>
      </c>
      <c r="D1180" s="2">
        <v>20.2</v>
      </c>
      <c r="E1180" s="2">
        <v>24.2</v>
      </c>
      <c r="F1180" s="2">
        <v>5.4</v>
      </c>
      <c r="G1180" s="2">
        <v>0</v>
      </c>
      <c r="H1180" s="2" t="str">
        <f>VLOOKUP(A1180,Holidays!$A$2:$B$2107,2,1)</f>
        <v>Y</v>
      </c>
      <c r="I1180" s="2" t="str">
        <f>VLOOKUP(A1180,Holidays!$A$2:$C$2107,3,1)</f>
        <v>N</v>
      </c>
    </row>
    <row r="1181" spans="1:9" x14ac:dyDescent="0.45">
      <c r="A1181" s="1">
        <v>43184</v>
      </c>
      <c r="B1181">
        <v>98918.514999999999</v>
      </c>
      <c r="C1181">
        <v>40.2567047</v>
      </c>
      <c r="D1181" s="2">
        <v>17.8</v>
      </c>
      <c r="E1181" s="2">
        <v>25.4</v>
      </c>
      <c r="F1181" s="2">
        <v>11.6</v>
      </c>
      <c r="G1181" s="2">
        <v>13</v>
      </c>
      <c r="H1181" s="2" t="str">
        <f>VLOOKUP(A1181,Holidays!$A$2:$B$2107,2,1)</f>
        <v>Y</v>
      </c>
      <c r="I1181" s="2" t="str">
        <f>VLOOKUP(A1181,Holidays!$A$2:$C$2107,3,1)</f>
        <v>N</v>
      </c>
    </row>
    <row r="1182" spans="1:9" x14ac:dyDescent="0.45">
      <c r="A1182" s="1">
        <v>43185</v>
      </c>
      <c r="B1182">
        <v>112488.215</v>
      </c>
      <c r="C1182">
        <v>70.830680319999999</v>
      </c>
      <c r="D1182" s="2">
        <v>10.7</v>
      </c>
      <c r="E1182" s="2">
        <v>18.5</v>
      </c>
      <c r="F1182" s="2">
        <v>11.9</v>
      </c>
      <c r="G1182" s="2">
        <v>5.2</v>
      </c>
      <c r="H1182" s="2" t="str">
        <f>VLOOKUP(A1182,Holidays!$A$2:$B$2107,2,1)</f>
        <v>Y</v>
      </c>
      <c r="I1182" s="2" t="str">
        <f>VLOOKUP(A1182,Holidays!$A$2:$C$2107,3,1)</f>
        <v>N</v>
      </c>
    </row>
    <row r="1183" spans="1:9" x14ac:dyDescent="0.45">
      <c r="A1183" s="1">
        <v>43186</v>
      </c>
      <c r="B1183">
        <v>116809.36500000001</v>
      </c>
      <c r="C1183">
        <v>64.569195899999997</v>
      </c>
      <c r="D1183" s="2">
        <v>9.6</v>
      </c>
      <c r="E1183" s="2">
        <v>22.6</v>
      </c>
      <c r="F1183" s="2">
        <v>14</v>
      </c>
      <c r="G1183" s="2">
        <v>1.2</v>
      </c>
      <c r="H1183" s="2" t="str">
        <f>VLOOKUP(A1183,Holidays!$A$2:$B$2107,2,1)</f>
        <v>Y</v>
      </c>
      <c r="I1183" s="2" t="str">
        <f>VLOOKUP(A1183,Holidays!$A$2:$C$2107,3,1)</f>
        <v>N</v>
      </c>
    </row>
    <row r="1184" spans="1:9" x14ac:dyDescent="0.45">
      <c r="A1184" s="1">
        <v>43187</v>
      </c>
      <c r="B1184">
        <v>117744.005</v>
      </c>
      <c r="C1184">
        <v>72.111955769999994</v>
      </c>
      <c r="D1184" s="2">
        <v>11.3</v>
      </c>
      <c r="E1184" s="2">
        <v>30.3</v>
      </c>
      <c r="F1184" s="2">
        <v>17.8</v>
      </c>
      <c r="G1184" s="2">
        <v>0</v>
      </c>
      <c r="H1184" s="2" t="str">
        <f>VLOOKUP(A1184,Holidays!$A$2:$B$2107,2,1)</f>
        <v>Y</v>
      </c>
      <c r="I1184" s="2" t="str">
        <f>VLOOKUP(A1184,Holidays!$A$2:$C$2107,3,1)</f>
        <v>N</v>
      </c>
    </row>
    <row r="1185" spans="1:9" x14ac:dyDescent="0.45">
      <c r="A1185" s="1">
        <v>43188</v>
      </c>
      <c r="B1185">
        <v>116457.26</v>
      </c>
      <c r="C1185">
        <v>79.365081939999996</v>
      </c>
      <c r="D1185" s="2">
        <v>16.5</v>
      </c>
      <c r="E1185" s="2">
        <v>21.8</v>
      </c>
      <c r="F1185" s="2">
        <v>14.2</v>
      </c>
      <c r="G1185" s="2">
        <v>0</v>
      </c>
      <c r="H1185" s="2" t="str">
        <f>VLOOKUP(A1185,Holidays!$A$2:$B$2107,2,1)</f>
        <v>N</v>
      </c>
      <c r="I1185" s="2" t="str">
        <f>VLOOKUP(A1185,Holidays!$A$2:$C$2107,3,1)</f>
        <v>N</v>
      </c>
    </row>
    <row r="1186" spans="1:9" x14ac:dyDescent="0.45">
      <c r="A1186" s="1">
        <v>43189</v>
      </c>
      <c r="B1186">
        <v>97070.345000000001</v>
      </c>
      <c r="C1186">
        <v>69.452869660000005</v>
      </c>
      <c r="D1186" s="2">
        <v>12.2</v>
      </c>
      <c r="E1186" s="2">
        <v>23.3</v>
      </c>
      <c r="F1186" s="2">
        <v>14.3</v>
      </c>
      <c r="G1186" s="2">
        <v>0</v>
      </c>
      <c r="H1186" s="2" t="str">
        <f>VLOOKUP(A1186,Holidays!$A$2:$B$2107,2,1)</f>
        <v>N</v>
      </c>
      <c r="I1186" s="2" t="str">
        <f>VLOOKUP(A1186,Holidays!$A$2:$C$2107,3,1)</f>
        <v>Y</v>
      </c>
    </row>
    <row r="1187" spans="1:9" x14ac:dyDescent="0.45">
      <c r="A1187" s="1">
        <v>43190</v>
      </c>
      <c r="B1187">
        <v>99687.64</v>
      </c>
      <c r="C1187">
        <v>81.406771699999993</v>
      </c>
      <c r="D1187" s="2">
        <v>13.2</v>
      </c>
      <c r="E1187" s="2">
        <v>22.4</v>
      </c>
      <c r="F1187" s="2">
        <v>16.7</v>
      </c>
      <c r="G1187" s="2">
        <v>0</v>
      </c>
      <c r="H1187" s="2" t="str">
        <f>VLOOKUP(A1187,Holidays!$A$2:$B$2107,2,1)</f>
        <v>N</v>
      </c>
      <c r="I1187" s="2" t="str">
        <f>VLOOKUP(A1187,Holidays!$A$2:$C$2107,3,1)</f>
        <v>Y</v>
      </c>
    </row>
    <row r="1188" spans="1:9" x14ac:dyDescent="0.45">
      <c r="A1188" s="1">
        <v>43191</v>
      </c>
      <c r="B1188">
        <v>98817.03</v>
      </c>
      <c r="C1188">
        <v>73.967841899999996</v>
      </c>
      <c r="D1188" s="2">
        <v>13</v>
      </c>
      <c r="E1188" s="2">
        <v>27.7</v>
      </c>
      <c r="F1188" s="2">
        <v>11</v>
      </c>
      <c r="G1188" s="2">
        <v>0</v>
      </c>
      <c r="H1188" s="2" t="str">
        <f>VLOOKUP(A1188,Holidays!$A$2:$B$2107,2,1)</f>
        <v>N</v>
      </c>
      <c r="I1188" s="2" t="str">
        <f>VLOOKUP(A1188,Holidays!$A$2:$C$2107,3,1)</f>
        <v>Y</v>
      </c>
    </row>
    <row r="1189" spans="1:9" x14ac:dyDescent="0.45">
      <c r="A1189" s="1">
        <v>43192</v>
      </c>
      <c r="B1189">
        <v>98258.25</v>
      </c>
      <c r="C1189">
        <v>62.410101240000003</v>
      </c>
      <c r="D1189" s="2">
        <v>14.9</v>
      </c>
      <c r="E1189" s="2">
        <v>20.9</v>
      </c>
      <c r="F1189" s="2">
        <v>14.4</v>
      </c>
      <c r="G1189" s="2">
        <v>0</v>
      </c>
      <c r="H1189" s="2" t="str">
        <f>VLOOKUP(A1189,Holidays!$A$2:$B$2107,2,1)</f>
        <v>N</v>
      </c>
      <c r="I1189" s="2" t="str">
        <f>VLOOKUP(A1189,Holidays!$A$2:$C$2107,3,1)</f>
        <v>Y</v>
      </c>
    </row>
    <row r="1190" spans="1:9" x14ac:dyDescent="0.45">
      <c r="A1190" s="1">
        <v>43193</v>
      </c>
      <c r="B1190">
        <v>113381.53</v>
      </c>
      <c r="C1190">
        <v>80.110737060000005</v>
      </c>
      <c r="D1190" s="2">
        <v>13.4</v>
      </c>
      <c r="E1190" s="2">
        <v>19.8</v>
      </c>
      <c r="F1190" s="2">
        <v>13.9</v>
      </c>
      <c r="G1190" s="2">
        <v>0</v>
      </c>
      <c r="H1190" s="2" t="str">
        <f>VLOOKUP(A1190,Holidays!$A$2:$B$2107,2,1)</f>
        <v>N</v>
      </c>
      <c r="I1190" s="2" t="str">
        <f>VLOOKUP(A1190,Holidays!$A$2:$C$2107,3,1)</f>
        <v>N</v>
      </c>
    </row>
    <row r="1191" spans="1:9" x14ac:dyDescent="0.45">
      <c r="A1191" s="1">
        <v>43194</v>
      </c>
      <c r="B1191">
        <v>115974.61</v>
      </c>
      <c r="C1191">
        <v>90.073740799999996</v>
      </c>
      <c r="D1191" s="2">
        <v>13.3</v>
      </c>
      <c r="E1191" s="2">
        <v>20.6</v>
      </c>
      <c r="F1191" s="2">
        <v>16.600000000000001</v>
      </c>
      <c r="G1191" s="2">
        <v>0</v>
      </c>
      <c r="H1191" s="2" t="str">
        <f>VLOOKUP(A1191,Holidays!$A$2:$B$2107,2,1)</f>
        <v>N</v>
      </c>
      <c r="I1191" s="2" t="str">
        <f>VLOOKUP(A1191,Holidays!$A$2:$C$2107,3,1)</f>
        <v>N</v>
      </c>
    </row>
    <row r="1192" spans="1:9" x14ac:dyDescent="0.45">
      <c r="A1192" s="1">
        <v>43195</v>
      </c>
      <c r="B1192">
        <v>117551.69500000001</v>
      </c>
      <c r="C1192">
        <v>86.891929590000004</v>
      </c>
      <c r="D1192" s="2">
        <v>13.3</v>
      </c>
      <c r="E1192" s="2">
        <v>18.7</v>
      </c>
      <c r="F1192" s="2">
        <v>9</v>
      </c>
      <c r="G1192" s="2">
        <v>0</v>
      </c>
      <c r="H1192" s="2" t="str">
        <f>VLOOKUP(A1192,Holidays!$A$2:$B$2107,2,1)</f>
        <v>N</v>
      </c>
      <c r="I1192" s="2" t="str">
        <f>VLOOKUP(A1192,Holidays!$A$2:$C$2107,3,1)</f>
        <v>N</v>
      </c>
    </row>
    <row r="1193" spans="1:9" x14ac:dyDescent="0.45">
      <c r="A1193" s="1">
        <v>43196</v>
      </c>
      <c r="B1193">
        <v>115979.07</v>
      </c>
      <c r="C1193">
        <v>85.687904610000004</v>
      </c>
      <c r="D1193" s="2">
        <v>13.8</v>
      </c>
      <c r="E1193" s="2">
        <v>21.2</v>
      </c>
      <c r="F1193" s="2">
        <v>14.8</v>
      </c>
      <c r="G1193" s="2">
        <v>0</v>
      </c>
      <c r="H1193" s="2" t="str">
        <f>VLOOKUP(A1193,Holidays!$A$2:$B$2107,2,1)</f>
        <v>N</v>
      </c>
      <c r="I1193" s="2" t="str">
        <f>VLOOKUP(A1193,Holidays!$A$2:$C$2107,3,1)</f>
        <v>N</v>
      </c>
    </row>
    <row r="1194" spans="1:9" x14ac:dyDescent="0.45">
      <c r="A1194" s="1">
        <v>43197</v>
      </c>
      <c r="B1194">
        <v>105938.47500000001</v>
      </c>
      <c r="C1194">
        <v>84.8974312</v>
      </c>
      <c r="D1194" s="2">
        <v>9.8000000000000007</v>
      </c>
      <c r="E1194" s="2">
        <v>21.6</v>
      </c>
      <c r="F1194" s="2">
        <v>16</v>
      </c>
      <c r="G1194" s="2">
        <v>0</v>
      </c>
      <c r="H1194" s="2" t="str">
        <f>VLOOKUP(A1194,Holidays!$A$2:$B$2107,2,1)</f>
        <v>N</v>
      </c>
      <c r="I1194" s="2" t="str">
        <f>VLOOKUP(A1194,Holidays!$A$2:$C$2107,3,1)</f>
        <v>N</v>
      </c>
    </row>
    <row r="1195" spans="1:9" x14ac:dyDescent="0.45">
      <c r="A1195" s="1">
        <v>43198</v>
      </c>
      <c r="B1195">
        <v>100571.16499999999</v>
      </c>
      <c r="C1195">
        <v>58.238721519999999</v>
      </c>
      <c r="D1195" s="2">
        <v>11.8</v>
      </c>
      <c r="E1195" s="2">
        <v>29.9</v>
      </c>
      <c r="F1195" s="2">
        <v>14.7</v>
      </c>
      <c r="G1195" s="2">
        <v>0</v>
      </c>
      <c r="H1195" s="2" t="str">
        <f>VLOOKUP(A1195,Holidays!$A$2:$B$2107,2,1)</f>
        <v>N</v>
      </c>
      <c r="I1195" s="2" t="str">
        <f>VLOOKUP(A1195,Holidays!$A$2:$C$2107,3,1)</f>
        <v>N</v>
      </c>
    </row>
    <row r="1196" spans="1:9" x14ac:dyDescent="0.45">
      <c r="A1196" s="1">
        <v>43199</v>
      </c>
      <c r="B1196">
        <v>118702.925</v>
      </c>
      <c r="C1196">
        <v>91.693644509999999</v>
      </c>
      <c r="D1196" s="2">
        <v>15.9</v>
      </c>
      <c r="E1196" s="2">
        <v>25.7</v>
      </c>
      <c r="F1196" s="2">
        <v>13.6</v>
      </c>
      <c r="G1196" s="2">
        <v>0</v>
      </c>
      <c r="H1196" s="2" t="str">
        <f>VLOOKUP(A1196,Holidays!$A$2:$B$2107,2,1)</f>
        <v>N</v>
      </c>
      <c r="I1196" s="2" t="str">
        <f>VLOOKUP(A1196,Holidays!$A$2:$C$2107,3,1)</f>
        <v>N</v>
      </c>
    </row>
    <row r="1197" spans="1:9" x14ac:dyDescent="0.45">
      <c r="A1197" s="1">
        <v>43200</v>
      </c>
      <c r="B1197">
        <v>122423.01</v>
      </c>
      <c r="C1197">
        <v>76.333648019999998</v>
      </c>
      <c r="D1197" s="2">
        <v>14.8</v>
      </c>
      <c r="E1197" s="2">
        <v>28.8</v>
      </c>
      <c r="F1197" s="2">
        <v>5.9</v>
      </c>
      <c r="G1197" s="2">
        <v>0</v>
      </c>
      <c r="H1197" s="2" t="str">
        <f>VLOOKUP(A1197,Holidays!$A$2:$B$2107,2,1)</f>
        <v>N</v>
      </c>
      <c r="I1197" s="2" t="str">
        <f>VLOOKUP(A1197,Holidays!$A$2:$C$2107,3,1)</f>
        <v>N</v>
      </c>
    </row>
    <row r="1198" spans="1:9" x14ac:dyDescent="0.45">
      <c r="A1198" s="1">
        <v>43201</v>
      </c>
      <c r="B1198">
        <v>121944.995</v>
      </c>
      <c r="C1198">
        <v>75.040945059999999</v>
      </c>
      <c r="D1198" s="2">
        <v>18.100000000000001</v>
      </c>
      <c r="E1198" s="2">
        <v>27.3</v>
      </c>
      <c r="F1198" s="2">
        <v>10.9</v>
      </c>
      <c r="G1198" s="2">
        <v>0</v>
      </c>
      <c r="H1198" s="2" t="str">
        <f>VLOOKUP(A1198,Holidays!$A$2:$B$2107,2,1)</f>
        <v>N</v>
      </c>
      <c r="I1198" s="2" t="str">
        <f>VLOOKUP(A1198,Holidays!$A$2:$C$2107,3,1)</f>
        <v>N</v>
      </c>
    </row>
    <row r="1199" spans="1:9" x14ac:dyDescent="0.45">
      <c r="A1199" s="1">
        <v>43202</v>
      </c>
      <c r="B1199">
        <v>119876.63</v>
      </c>
      <c r="C1199">
        <v>77.714523709999995</v>
      </c>
      <c r="D1199" s="2">
        <v>15.9</v>
      </c>
      <c r="E1199" s="2">
        <v>26.5</v>
      </c>
      <c r="F1199" s="2">
        <v>7.4</v>
      </c>
      <c r="G1199" s="2">
        <v>0</v>
      </c>
      <c r="H1199" s="2" t="str">
        <f>VLOOKUP(A1199,Holidays!$A$2:$B$2107,2,1)</f>
        <v>N</v>
      </c>
      <c r="I1199" s="2" t="str">
        <f>VLOOKUP(A1199,Holidays!$A$2:$C$2107,3,1)</f>
        <v>N</v>
      </c>
    </row>
    <row r="1200" spans="1:9" x14ac:dyDescent="0.45">
      <c r="A1200" s="1">
        <v>43203</v>
      </c>
      <c r="B1200">
        <v>113609.76</v>
      </c>
      <c r="C1200">
        <v>69.763201089999995</v>
      </c>
      <c r="D1200" s="2">
        <v>11.9</v>
      </c>
      <c r="E1200" s="2">
        <v>25.9</v>
      </c>
      <c r="F1200" s="2">
        <v>14.4</v>
      </c>
      <c r="G1200" s="2">
        <v>0</v>
      </c>
      <c r="H1200" s="2" t="str">
        <f>VLOOKUP(A1200,Holidays!$A$2:$B$2107,2,1)</f>
        <v>N</v>
      </c>
      <c r="I1200" s="2" t="str">
        <f>VLOOKUP(A1200,Holidays!$A$2:$C$2107,3,1)</f>
        <v>N</v>
      </c>
    </row>
    <row r="1201" spans="1:9" x14ac:dyDescent="0.45">
      <c r="A1201" s="1">
        <v>43204</v>
      </c>
      <c r="B1201">
        <v>105135.30499999999</v>
      </c>
      <c r="C1201">
        <v>37.741398410000002</v>
      </c>
      <c r="D1201" s="2">
        <v>13.5</v>
      </c>
      <c r="E1201" s="2">
        <v>16.100000000000001</v>
      </c>
      <c r="F1201" s="2">
        <v>3.1</v>
      </c>
      <c r="G1201" s="2">
        <v>0</v>
      </c>
      <c r="H1201" s="2" t="str">
        <f>VLOOKUP(A1201,Holidays!$A$2:$B$2107,2,1)</f>
        <v>N</v>
      </c>
      <c r="I1201" s="2" t="str">
        <f>VLOOKUP(A1201,Holidays!$A$2:$C$2107,3,1)</f>
        <v>N</v>
      </c>
    </row>
    <row r="1202" spans="1:9" x14ac:dyDescent="0.45">
      <c r="A1202" s="1">
        <v>43205</v>
      </c>
      <c r="B1202">
        <v>104123.39</v>
      </c>
      <c r="C1202">
        <v>31.682325389999999</v>
      </c>
      <c r="D1202" s="2">
        <v>9.6999999999999993</v>
      </c>
      <c r="E1202" s="2">
        <v>19.100000000000001</v>
      </c>
      <c r="F1202" s="2">
        <v>4.9000000000000004</v>
      </c>
      <c r="G1202" s="2">
        <v>12.2</v>
      </c>
      <c r="H1202" s="2" t="str">
        <f>VLOOKUP(A1202,Holidays!$A$2:$B$2107,2,1)</f>
        <v>N</v>
      </c>
      <c r="I1202" s="2" t="str">
        <f>VLOOKUP(A1202,Holidays!$A$2:$C$2107,3,1)</f>
        <v>N</v>
      </c>
    </row>
    <row r="1203" spans="1:9" x14ac:dyDescent="0.45">
      <c r="A1203" s="1">
        <v>43206</v>
      </c>
      <c r="B1203">
        <v>115694.64</v>
      </c>
      <c r="C1203">
        <v>69.360932570000003</v>
      </c>
      <c r="D1203" s="2">
        <v>13.1</v>
      </c>
      <c r="E1203" s="2">
        <v>21</v>
      </c>
      <c r="F1203" s="2">
        <v>7.1</v>
      </c>
      <c r="G1203" s="2">
        <v>3</v>
      </c>
      <c r="H1203" s="2" t="str">
        <f>VLOOKUP(A1203,Holidays!$A$2:$B$2107,2,1)</f>
        <v>N</v>
      </c>
      <c r="I1203" s="2" t="str">
        <f>VLOOKUP(A1203,Holidays!$A$2:$C$2107,3,1)</f>
        <v>N</v>
      </c>
    </row>
    <row r="1204" spans="1:9" x14ac:dyDescent="0.45">
      <c r="A1204" s="1">
        <v>43207</v>
      </c>
      <c r="B1204">
        <v>121092.855</v>
      </c>
      <c r="C1204">
        <v>86.534392859999997</v>
      </c>
      <c r="D1204" s="2">
        <v>13.2</v>
      </c>
      <c r="E1204" s="2">
        <v>16.600000000000001</v>
      </c>
      <c r="F1204" s="2">
        <v>8.9</v>
      </c>
      <c r="G1204" s="2">
        <v>0.6</v>
      </c>
      <c r="H1204" s="2" t="str">
        <f>VLOOKUP(A1204,Holidays!$A$2:$B$2107,2,1)</f>
        <v>Y</v>
      </c>
      <c r="I1204" s="2" t="str">
        <f>VLOOKUP(A1204,Holidays!$A$2:$C$2107,3,1)</f>
        <v>N</v>
      </c>
    </row>
    <row r="1205" spans="1:9" x14ac:dyDescent="0.45">
      <c r="A1205" s="1">
        <v>43208</v>
      </c>
      <c r="B1205">
        <v>120784.875</v>
      </c>
      <c r="C1205">
        <v>82.879097999999999</v>
      </c>
      <c r="D1205" s="2">
        <v>6.2</v>
      </c>
      <c r="E1205" s="2">
        <v>19.399999999999999</v>
      </c>
      <c r="F1205" s="2">
        <v>14.2</v>
      </c>
      <c r="G1205" s="2">
        <v>0</v>
      </c>
      <c r="H1205" s="2" t="str">
        <f>VLOOKUP(A1205,Holidays!$A$2:$B$2107,2,1)</f>
        <v>Y</v>
      </c>
      <c r="I1205" s="2" t="str">
        <f>VLOOKUP(A1205,Holidays!$A$2:$C$2107,3,1)</f>
        <v>N</v>
      </c>
    </row>
    <row r="1206" spans="1:9" x14ac:dyDescent="0.45">
      <c r="A1206" s="1">
        <v>43209</v>
      </c>
      <c r="B1206">
        <v>120448.935</v>
      </c>
      <c r="C1206">
        <v>93.533142819999995</v>
      </c>
      <c r="D1206" s="2">
        <v>11</v>
      </c>
      <c r="E1206" s="2">
        <v>22.3</v>
      </c>
      <c r="F1206" s="2">
        <v>13</v>
      </c>
      <c r="G1206" s="2">
        <v>0</v>
      </c>
      <c r="H1206" s="2" t="str">
        <f>VLOOKUP(A1206,Holidays!$A$2:$B$2107,2,1)</f>
        <v>Y</v>
      </c>
      <c r="I1206" s="2" t="str">
        <f>VLOOKUP(A1206,Holidays!$A$2:$C$2107,3,1)</f>
        <v>N</v>
      </c>
    </row>
    <row r="1207" spans="1:9" x14ac:dyDescent="0.45">
      <c r="A1207" s="1">
        <v>43210</v>
      </c>
      <c r="B1207">
        <v>118324.09</v>
      </c>
      <c r="C1207">
        <v>95.73201718</v>
      </c>
      <c r="D1207" s="2">
        <v>8.9</v>
      </c>
      <c r="E1207" s="2">
        <v>20.2</v>
      </c>
      <c r="F1207" s="2">
        <v>13.7</v>
      </c>
      <c r="G1207" s="2">
        <v>0</v>
      </c>
      <c r="H1207" s="2" t="str">
        <f>VLOOKUP(A1207,Holidays!$A$2:$B$2107,2,1)</f>
        <v>Y</v>
      </c>
      <c r="I1207" s="2" t="str">
        <f>VLOOKUP(A1207,Holidays!$A$2:$C$2107,3,1)</f>
        <v>N</v>
      </c>
    </row>
    <row r="1208" spans="1:9" x14ac:dyDescent="0.45">
      <c r="A1208" s="1">
        <v>43211</v>
      </c>
      <c r="B1208">
        <v>107479.26</v>
      </c>
      <c r="C1208">
        <v>74.439689259999994</v>
      </c>
      <c r="D1208" s="2">
        <v>11.9</v>
      </c>
      <c r="E1208" s="2">
        <v>22.8</v>
      </c>
      <c r="F1208" s="2">
        <v>11.3</v>
      </c>
      <c r="G1208" s="2">
        <v>0</v>
      </c>
      <c r="H1208" s="2" t="str">
        <f>VLOOKUP(A1208,Holidays!$A$2:$B$2107,2,1)</f>
        <v>Y</v>
      </c>
      <c r="I1208" s="2" t="str">
        <f>VLOOKUP(A1208,Holidays!$A$2:$C$2107,3,1)</f>
        <v>N</v>
      </c>
    </row>
    <row r="1209" spans="1:9" x14ac:dyDescent="0.45">
      <c r="A1209" s="1">
        <v>43212</v>
      </c>
      <c r="B1209">
        <v>103662.05</v>
      </c>
      <c r="C1209">
        <v>76.318245149999996</v>
      </c>
      <c r="D1209" s="2">
        <v>11.2</v>
      </c>
      <c r="E1209" s="2">
        <v>20.399999999999999</v>
      </c>
      <c r="F1209" s="2">
        <v>12.6</v>
      </c>
      <c r="G1209" s="2">
        <v>0</v>
      </c>
      <c r="H1209" s="2" t="str">
        <f>VLOOKUP(A1209,Holidays!$A$2:$B$2107,2,1)</f>
        <v>Y</v>
      </c>
      <c r="I1209" s="2" t="str">
        <f>VLOOKUP(A1209,Holidays!$A$2:$C$2107,3,1)</f>
        <v>N</v>
      </c>
    </row>
    <row r="1210" spans="1:9" x14ac:dyDescent="0.45">
      <c r="A1210" s="1">
        <v>43213</v>
      </c>
      <c r="B1210">
        <v>117799.97</v>
      </c>
      <c r="C1210">
        <v>72.740947320000004</v>
      </c>
      <c r="D1210" s="2">
        <v>11.9</v>
      </c>
      <c r="E1210" s="2">
        <v>26.9</v>
      </c>
      <c r="F1210" s="2">
        <v>13</v>
      </c>
      <c r="G1210" s="2">
        <v>0</v>
      </c>
      <c r="H1210" s="2" t="str">
        <f>VLOOKUP(A1210,Holidays!$A$2:$B$2107,2,1)</f>
        <v>Y</v>
      </c>
      <c r="I1210" s="2" t="str">
        <f>VLOOKUP(A1210,Holidays!$A$2:$C$2107,3,1)</f>
        <v>N</v>
      </c>
    </row>
    <row r="1211" spans="1:9" x14ac:dyDescent="0.45">
      <c r="A1211" s="1">
        <v>43214</v>
      </c>
      <c r="B1211">
        <v>117642.645</v>
      </c>
      <c r="C1211">
        <v>88.090941540000003</v>
      </c>
      <c r="D1211" s="2">
        <v>13.7</v>
      </c>
      <c r="E1211" s="2">
        <v>24.6</v>
      </c>
      <c r="F1211" s="2">
        <v>5.2</v>
      </c>
      <c r="G1211" s="2">
        <v>0</v>
      </c>
      <c r="H1211" s="2" t="str">
        <f>VLOOKUP(A1211,Holidays!$A$2:$B$2107,2,1)</f>
        <v>Y</v>
      </c>
      <c r="I1211" s="2" t="str">
        <f>VLOOKUP(A1211,Holidays!$A$2:$C$2107,3,1)</f>
        <v>N</v>
      </c>
    </row>
    <row r="1212" spans="1:9" x14ac:dyDescent="0.45">
      <c r="A1212" s="1">
        <v>43215</v>
      </c>
      <c r="B1212">
        <v>106654.955</v>
      </c>
      <c r="C1212">
        <v>77.461866439999994</v>
      </c>
      <c r="D1212" s="2">
        <v>15.7</v>
      </c>
      <c r="E1212" s="2">
        <v>20.100000000000001</v>
      </c>
      <c r="F1212" s="2">
        <v>7.7</v>
      </c>
      <c r="G1212" s="2">
        <v>0.6</v>
      </c>
      <c r="H1212" s="2" t="str">
        <f>VLOOKUP(A1212,Holidays!$A$2:$B$2107,2,1)</f>
        <v>Y</v>
      </c>
      <c r="I1212" s="2" t="str">
        <f>VLOOKUP(A1212,Holidays!$A$2:$C$2107,3,1)</f>
        <v>Y</v>
      </c>
    </row>
    <row r="1213" spans="1:9" x14ac:dyDescent="0.45">
      <c r="A1213" s="1">
        <v>43216</v>
      </c>
      <c r="B1213">
        <v>117617.51</v>
      </c>
      <c r="C1213">
        <v>82.433491849999996</v>
      </c>
      <c r="D1213" s="2">
        <v>11.9</v>
      </c>
      <c r="E1213" s="2">
        <v>17.5</v>
      </c>
      <c r="F1213" s="2">
        <v>7.9</v>
      </c>
      <c r="G1213" s="2">
        <v>0</v>
      </c>
      <c r="H1213" s="2" t="str">
        <f>VLOOKUP(A1213,Holidays!$A$2:$B$2107,2,1)</f>
        <v>Y</v>
      </c>
      <c r="I1213" s="2" t="str">
        <f>VLOOKUP(A1213,Holidays!$A$2:$C$2107,3,1)</f>
        <v>N</v>
      </c>
    </row>
    <row r="1214" spans="1:9" x14ac:dyDescent="0.45">
      <c r="A1214" s="1">
        <v>43217</v>
      </c>
      <c r="B1214">
        <v>119079.465</v>
      </c>
      <c r="C1214">
        <v>78.214854180000003</v>
      </c>
      <c r="D1214" s="2">
        <v>11.6</v>
      </c>
      <c r="E1214" s="2">
        <v>17.8</v>
      </c>
      <c r="F1214" s="2">
        <v>8.8000000000000007</v>
      </c>
      <c r="G1214" s="2">
        <v>0</v>
      </c>
      <c r="H1214" s="2" t="str">
        <f>VLOOKUP(A1214,Holidays!$A$2:$B$2107,2,1)</f>
        <v>Y</v>
      </c>
      <c r="I1214" s="2" t="str">
        <f>VLOOKUP(A1214,Holidays!$A$2:$C$2107,3,1)</f>
        <v>N</v>
      </c>
    </row>
    <row r="1215" spans="1:9" x14ac:dyDescent="0.45">
      <c r="A1215" s="1">
        <v>43218</v>
      </c>
      <c r="B1215">
        <v>108613.38</v>
      </c>
      <c r="C1215">
        <v>70.000391410000006</v>
      </c>
      <c r="D1215" s="2">
        <v>7.7</v>
      </c>
      <c r="E1215" s="2">
        <v>18.3</v>
      </c>
      <c r="F1215" s="2">
        <v>11.7</v>
      </c>
      <c r="G1215" s="2">
        <v>0</v>
      </c>
      <c r="H1215" s="2" t="str">
        <f>VLOOKUP(A1215,Holidays!$A$2:$B$2107,2,1)</f>
        <v>Y</v>
      </c>
      <c r="I1215" s="2" t="str">
        <f>VLOOKUP(A1215,Holidays!$A$2:$C$2107,3,1)</f>
        <v>N</v>
      </c>
    </row>
    <row r="1216" spans="1:9" x14ac:dyDescent="0.45">
      <c r="A1216" s="1">
        <v>43219</v>
      </c>
      <c r="B1216">
        <v>105277.715</v>
      </c>
      <c r="C1216">
        <v>64.158974720000003</v>
      </c>
      <c r="D1216" s="2">
        <v>10.5</v>
      </c>
      <c r="E1216" s="2">
        <v>18</v>
      </c>
      <c r="F1216" s="2">
        <v>9.6</v>
      </c>
      <c r="G1216" s="2">
        <v>0</v>
      </c>
      <c r="H1216" s="2" t="str">
        <f>VLOOKUP(A1216,Holidays!$A$2:$B$2107,2,1)</f>
        <v>Y</v>
      </c>
      <c r="I1216" s="2" t="str">
        <f>VLOOKUP(A1216,Holidays!$A$2:$C$2107,3,1)</f>
        <v>N</v>
      </c>
    </row>
    <row r="1217" spans="1:9" x14ac:dyDescent="0.45">
      <c r="A1217" s="1">
        <v>43220</v>
      </c>
      <c r="B1217">
        <v>121551.685</v>
      </c>
      <c r="C1217">
        <v>77.969150560000003</v>
      </c>
      <c r="D1217" s="2">
        <v>8.8000000000000007</v>
      </c>
      <c r="E1217" s="2">
        <v>19.600000000000001</v>
      </c>
      <c r="F1217" s="2">
        <v>12.3</v>
      </c>
      <c r="G1217" s="2">
        <v>0</v>
      </c>
      <c r="H1217" s="2" t="str">
        <f>VLOOKUP(A1217,Holidays!$A$2:$B$2107,2,1)</f>
        <v>Y</v>
      </c>
      <c r="I1217" s="2" t="str">
        <f>VLOOKUP(A1217,Holidays!$A$2:$C$2107,3,1)</f>
        <v>N</v>
      </c>
    </row>
    <row r="1218" spans="1:9" x14ac:dyDescent="0.45">
      <c r="A1218" s="1">
        <v>43221</v>
      </c>
      <c r="B1218">
        <v>122642.235</v>
      </c>
      <c r="C1218">
        <v>73.974820219999998</v>
      </c>
      <c r="D1218" s="2">
        <v>7.2</v>
      </c>
      <c r="E1218" s="2">
        <v>23.4</v>
      </c>
      <c r="F1218" s="2">
        <v>12.3</v>
      </c>
      <c r="G1218" s="2">
        <v>0</v>
      </c>
      <c r="H1218" s="2" t="str">
        <f>VLOOKUP(A1218,Holidays!$A$2:$B$2107,2,1)</f>
        <v>Y</v>
      </c>
      <c r="I1218" s="2" t="str">
        <f>VLOOKUP(A1218,Holidays!$A$2:$C$2107,3,1)</f>
        <v>N</v>
      </c>
    </row>
    <row r="1219" spans="1:9" x14ac:dyDescent="0.45">
      <c r="A1219" s="1">
        <v>43222</v>
      </c>
      <c r="B1219">
        <v>118716.595</v>
      </c>
      <c r="C1219">
        <v>67.274902339999997</v>
      </c>
      <c r="D1219" s="2">
        <v>10.199999999999999</v>
      </c>
      <c r="E1219" s="2">
        <v>23.2</v>
      </c>
      <c r="F1219" s="2">
        <v>7.2</v>
      </c>
      <c r="G1219" s="2">
        <v>0</v>
      </c>
      <c r="H1219" s="2" t="str">
        <f>VLOOKUP(A1219,Holidays!$A$2:$B$2107,2,1)</f>
        <v>Y</v>
      </c>
      <c r="I1219" s="2" t="str">
        <f>VLOOKUP(A1219,Holidays!$A$2:$C$2107,3,1)</f>
        <v>N</v>
      </c>
    </row>
    <row r="1220" spans="1:9" x14ac:dyDescent="0.45">
      <c r="A1220" s="1">
        <v>43223</v>
      </c>
      <c r="B1220">
        <v>117357.83500000001</v>
      </c>
      <c r="C1220">
        <v>52.768311670000003</v>
      </c>
      <c r="D1220" s="2">
        <v>14.5</v>
      </c>
      <c r="E1220" s="2">
        <v>24.4</v>
      </c>
      <c r="F1220" s="2">
        <v>4.4000000000000004</v>
      </c>
      <c r="G1220" s="2">
        <v>0</v>
      </c>
      <c r="H1220" s="2" t="str">
        <f>VLOOKUP(A1220,Holidays!$A$2:$B$2107,2,1)</f>
        <v>Y</v>
      </c>
      <c r="I1220" s="2" t="str">
        <f>VLOOKUP(A1220,Holidays!$A$2:$C$2107,3,1)</f>
        <v>N</v>
      </c>
    </row>
    <row r="1221" spans="1:9" x14ac:dyDescent="0.45">
      <c r="A1221" s="1">
        <v>43224</v>
      </c>
      <c r="B1221">
        <v>116870.46</v>
      </c>
      <c r="C1221">
        <v>54.639355999999999</v>
      </c>
      <c r="D1221" s="2">
        <v>11.5</v>
      </c>
      <c r="E1221" s="2">
        <v>17.2</v>
      </c>
      <c r="F1221" s="2">
        <v>7.8</v>
      </c>
      <c r="G1221" s="2">
        <v>6.2</v>
      </c>
      <c r="H1221" s="2" t="str">
        <f>VLOOKUP(A1221,Holidays!$A$2:$B$2107,2,1)</f>
        <v>Y</v>
      </c>
      <c r="I1221" s="2" t="str">
        <f>VLOOKUP(A1221,Holidays!$A$2:$C$2107,3,1)</f>
        <v>N</v>
      </c>
    </row>
    <row r="1222" spans="1:9" x14ac:dyDescent="0.45">
      <c r="A1222" s="1">
        <v>43225</v>
      </c>
      <c r="B1222">
        <v>106892.995</v>
      </c>
      <c r="C1222">
        <v>58.574885250000001</v>
      </c>
      <c r="D1222" s="2">
        <v>12.1</v>
      </c>
      <c r="E1222" s="2">
        <v>21.6</v>
      </c>
      <c r="F1222" s="2">
        <v>6.5</v>
      </c>
      <c r="G1222" s="2">
        <v>2.6</v>
      </c>
      <c r="H1222" s="2" t="str">
        <f>VLOOKUP(A1222,Holidays!$A$2:$B$2107,2,1)</f>
        <v>Y</v>
      </c>
      <c r="I1222" s="2" t="str">
        <f>VLOOKUP(A1222,Holidays!$A$2:$C$2107,3,1)</f>
        <v>N</v>
      </c>
    </row>
    <row r="1223" spans="1:9" x14ac:dyDescent="0.45">
      <c r="A1223" s="1">
        <v>43226</v>
      </c>
      <c r="B1223">
        <v>105840.39</v>
      </c>
      <c r="C1223">
        <v>61.89517764</v>
      </c>
      <c r="D1223" s="2">
        <v>9.9</v>
      </c>
      <c r="E1223" s="2">
        <v>21.7</v>
      </c>
      <c r="F1223" s="2">
        <v>11</v>
      </c>
      <c r="G1223" s="2">
        <v>0</v>
      </c>
      <c r="H1223" s="2" t="str">
        <f>VLOOKUP(A1223,Holidays!$A$2:$B$2107,2,1)</f>
        <v>Y</v>
      </c>
      <c r="I1223" s="2" t="str">
        <f>VLOOKUP(A1223,Holidays!$A$2:$C$2107,3,1)</f>
        <v>N</v>
      </c>
    </row>
    <row r="1224" spans="1:9" x14ac:dyDescent="0.45">
      <c r="A1224" s="1">
        <v>43227</v>
      </c>
      <c r="B1224">
        <v>118254.55499999999</v>
      </c>
      <c r="C1224">
        <v>49.41762224</v>
      </c>
      <c r="D1224" s="2">
        <v>12</v>
      </c>
      <c r="E1224" s="2">
        <v>19.5</v>
      </c>
      <c r="F1224" s="2">
        <v>6.2</v>
      </c>
      <c r="G1224" s="2">
        <v>0</v>
      </c>
      <c r="H1224" s="2" t="str">
        <f>VLOOKUP(A1224,Holidays!$A$2:$B$2107,2,1)</f>
        <v>Y</v>
      </c>
      <c r="I1224" s="2" t="str">
        <f>VLOOKUP(A1224,Holidays!$A$2:$C$2107,3,1)</f>
        <v>N</v>
      </c>
    </row>
    <row r="1225" spans="1:9" x14ac:dyDescent="0.45">
      <c r="A1225" s="1">
        <v>43228</v>
      </c>
      <c r="B1225">
        <v>122876.86500000001</v>
      </c>
      <c r="C1225">
        <v>101.2917412</v>
      </c>
      <c r="D1225" s="2">
        <v>13.4</v>
      </c>
      <c r="E1225" s="2">
        <v>17.899999999999999</v>
      </c>
      <c r="F1225" s="2">
        <v>10.6</v>
      </c>
      <c r="G1225" s="2">
        <v>0.2</v>
      </c>
      <c r="H1225" s="2" t="str">
        <f>VLOOKUP(A1225,Holidays!$A$2:$B$2107,2,1)</f>
        <v>Y</v>
      </c>
      <c r="I1225" s="2" t="str">
        <f>VLOOKUP(A1225,Holidays!$A$2:$C$2107,3,1)</f>
        <v>N</v>
      </c>
    </row>
    <row r="1226" spans="1:9" x14ac:dyDescent="0.45">
      <c r="A1226" s="1">
        <v>43229</v>
      </c>
      <c r="B1226">
        <v>122721.46</v>
      </c>
      <c r="C1226">
        <v>127.59078030000001</v>
      </c>
      <c r="D1226" s="2">
        <v>8</v>
      </c>
      <c r="E1226" s="2">
        <v>18.399999999999999</v>
      </c>
      <c r="F1226" s="2">
        <v>7.5</v>
      </c>
      <c r="G1226" s="2">
        <v>0</v>
      </c>
      <c r="H1226" s="2" t="str">
        <f>VLOOKUP(A1226,Holidays!$A$2:$B$2107,2,1)</f>
        <v>Y</v>
      </c>
      <c r="I1226" s="2" t="str">
        <f>VLOOKUP(A1226,Holidays!$A$2:$C$2107,3,1)</f>
        <v>N</v>
      </c>
    </row>
    <row r="1227" spans="1:9" x14ac:dyDescent="0.45">
      <c r="A1227" s="1">
        <v>43230</v>
      </c>
      <c r="B1227">
        <v>128518.505</v>
      </c>
      <c r="C1227">
        <v>62.881023409999997</v>
      </c>
      <c r="D1227" s="2">
        <v>9</v>
      </c>
      <c r="E1227" s="2">
        <v>12.8</v>
      </c>
      <c r="F1227" s="2">
        <v>8.5</v>
      </c>
      <c r="G1227" s="2">
        <v>8</v>
      </c>
      <c r="H1227" s="2" t="str">
        <f>VLOOKUP(A1227,Holidays!$A$2:$B$2107,2,1)</f>
        <v>Y</v>
      </c>
      <c r="I1227" s="2" t="str">
        <f>VLOOKUP(A1227,Holidays!$A$2:$C$2107,3,1)</f>
        <v>N</v>
      </c>
    </row>
    <row r="1228" spans="1:9" x14ac:dyDescent="0.45">
      <c r="A1228" s="1">
        <v>43231</v>
      </c>
      <c r="B1228">
        <v>133467.37</v>
      </c>
      <c r="C1228">
        <v>63.673069720000001</v>
      </c>
      <c r="D1228" s="2">
        <v>7.4</v>
      </c>
      <c r="E1228" s="2">
        <v>15.1</v>
      </c>
      <c r="F1228" s="2">
        <v>3.7</v>
      </c>
      <c r="G1228" s="2">
        <v>18.600000000000001</v>
      </c>
      <c r="H1228" s="2" t="str">
        <f>VLOOKUP(A1228,Holidays!$A$2:$B$2107,2,1)</f>
        <v>Y</v>
      </c>
      <c r="I1228" s="2" t="str">
        <f>VLOOKUP(A1228,Holidays!$A$2:$C$2107,3,1)</f>
        <v>N</v>
      </c>
    </row>
    <row r="1229" spans="1:9" x14ac:dyDescent="0.45">
      <c r="A1229" s="1">
        <v>43232</v>
      </c>
      <c r="B1229">
        <v>111273.755</v>
      </c>
      <c r="C1229">
        <v>62.662214910000003</v>
      </c>
      <c r="D1229" s="2">
        <v>11</v>
      </c>
      <c r="E1229" s="2">
        <v>16.899999999999999</v>
      </c>
      <c r="F1229" s="2">
        <v>9</v>
      </c>
      <c r="G1229" s="2">
        <v>8.4</v>
      </c>
      <c r="H1229" s="2" t="str">
        <f>VLOOKUP(A1229,Holidays!$A$2:$B$2107,2,1)</f>
        <v>Y</v>
      </c>
      <c r="I1229" s="2" t="str">
        <f>VLOOKUP(A1229,Holidays!$A$2:$C$2107,3,1)</f>
        <v>N</v>
      </c>
    </row>
    <row r="1230" spans="1:9" x14ac:dyDescent="0.45">
      <c r="A1230" s="1">
        <v>43233</v>
      </c>
      <c r="B1230">
        <v>108729.71</v>
      </c>
      <c r="C1230">
        <v>65.510003979999993</v>
      </c>
      <c r="D1230" s="2">
        <v>13</v>
      </c>
      <c r="E1230" s="2">
        <v>16.2</v>
      </c>
      <c r="F1230" s="2">
        <v>10.8</v>
      </c>
      <c r="G1230" s="2">
        <v>4</v>
      </c>
      <c r="H1230" s="2" t="str">
        <f>VLOOKUP(A1230,Holidays!$A$2:$B$2107,2,1)</f>
        <v>Y</v>
      </c>
      <c r="I1230" s="2" t="str">
        <f>VLOOKUP(A1230,Holidays!$A$2:$C$2107,3,1)</f>
        <v>N</v>
      </c>
    </row>
    <row r="1231" spans="1:9" x14ac:dyDescent="0.45">
      <c r="A1231" s="1">
        <v>43234</v>
      </c>
      <c r="B1231">
        <v>129885.955</v>
      </c>
      <c r="C1231">
        <v>111.6666324</v>
      </c>
      <c r="D1231" s="2">
        <v>6.8</v>
      </c>
      <c r="E1231" s="2">
        <v>15.9</v>
      </c>
      <c r="F1231" s="2">
        <v>8.1999999999999993</v>
      </c>
      <c r="G1231" s="2">
        <v>0</v>
      </c>
      <c r="H1231" s="2" t="str">
        <f>VLOOKUP(A1231,Holidays!$A$2:$B$2107,2,1)</f>
        <v>Y</v>
      </c>
      <c r="I1231" s="2" t="str">
        <f>VLOOKUP(A1231,Holidays!$A$2:$C$2107,3,1)</f>
        <v>N</v>
      </c>
    </row>
    <row r="1232" spans="1:9" x14ac:dyDescent="0.45">
      <c r="A1232" s="1">
        <v>43235</v>
      </c>
      <c r="B1232">
        <v>131900.51999999999</v>
      </c>
      <c r="C1232">
        <v>97.880329009999997</v>
      </c>
      <c r="D1232" s="2">
        <v>8.9</v>
      </c>
      <c r="E1232" s="2">
        <v>14.6</v>
      </c>
      <c r="F1232" s="2">
        <v>4.5999999999999996</v>
      </c>
      <c r="G1232" s="2">
        <v>0</v>
      </c>
      <c r="H1232" s="2" t="str">
        <f>VLOOKUP(A1232,Holidays!$A$2:$B$2107,2,1)</f>
        <v>Y</v>
      </c>
      <c r="I1232" s="2" t="str">
        <f>VLOOKUP(A1232,Holidays!$A$2:$C$2107,3,1)</f>
        <v>N</v>
      </c>
    </row>
    <row r="1233" spans="1:9" x14ac:dyDescent="0.45">
      <c r="A1233" s="1">
        <v>43236</v>
      </c>
      <c r="B1233">
        <v>133399.23000000001</v>
      </c>
      <c r="C1233">
        <v>124.0856314</v>
      </c>
      <c r="D1233" s="2">
        <v>9.4</v>
      </c>
      <c r="E1233" s="2">
        <v>14.3</v>
      </c>
      <c r="F1233" s="2">
        <v>7.6</v>
      </c>
      <c r="G1233" s="2">
        <v>2</v>
      </c>
      <c r="H1233" s="2" t="str">
        <f>VLOOKUP(A1233,Holidays!$A$2:$B$2107,2,1)</f>
        <v>Y</v>
      </c>
      <c r="I1233" s="2" t="str">
        <f>VLOOKUP(A1233,Holidays!$A$2:$C$2107,3,1)</f>
        <v>N</v>
      </c>
    </row>
    <row r="1234" spans="1:9" x14ac:dyDescent="0.45">
      <c r="A1234" s="1">
        <v>43237</v>
      </c>
      <c r="B1234">
        <v>131757.155</v>
      </c>
      <c r="C1234">
        <v>108.95155010000001</v>
      </c>
      <c r="D1234" s="2">
        <v>11.7</v>
      </c>
      <c r="E1234" s="2">
        <v>15</v>
      </c>
      <c r="F1234" s="2">
        <v>6.9</v>
      </c>
      <c r="G1234" s="2">
        <v>0</v>
      </c>
      <c r="H1234" s="2" t="str">
        <f>VLOOKUP(A1234,Holidays!$A$2:$B$2107,2,1)</f>
        <v>Y</v>
      </c>
      <c r="I1234" s="2" t="str">
        <f>VLOOKUP(A1234,Holidays!$A$2:$C$2107,3,1)</f>
        <v>N</v>
      </c>
    </row>
    <row r="1235" spans="1:9" x14ac:dyDescent="0.45">
      <c r="A1235" s="1">
        <v>43238</v>
      </c>
      <c r="B1235">
        <v>127353.575</v>
      </c>
      <c r="C1235">
        <v>96.161656390000005</v>
      </c>
      <c r="D1235" s="2">
        <v>12.3</v>
      </c>
      <c r="E1235" s="2">
        <v>17.7</v>
      </c>
      <c r="F1235" s="2">
        <v>8</v>
      </c>
      <c r="G1235" s="2">
        <v>0.2</v>
      </c>
      <c r="H1235" s="2" t="str">
        <f>VLOOKUP(A1235,Holidays!$A$2:$B$2107,2,1)</f>
        <v>Y</v>
      </c>
      <c r="I1235" s="2" t="str">
        <f>VLOOKUP(A1235,Holidays!$A$2:$C$2107,3,1)</f>
        <v>N</v>
      </c>
    </row>
    <row r="1236" spans="1:9" x14ac:dyDescent="0.45">
      <c r="A1236" s="1">
        <v>43239</v>
      </c>
      <c r="B1236">
        <v>119262.145</v>
      </c>
      <c r="C1236">
        <v>93.623434770000003</v>
      </c>
      <c r="D1236" s="2">
        <v>10.6</v>
      </c>
      <c r="E1236" s="2">
        <v>15.5</v>
      </c>
      <c r="F1236" s="2">
        <v>6.5</v>
      </c>
      <c r="G1236" s="2">
        <v>2.6</v>
      </c>
      <c r="H1236" s="2" t="str">
        <f>VLOOKUP(A1236,Holidays!$A$2:$B$2107,2,1)</f>
        <v>Y</v>
      </c>
      <c r="I1236" s="2" t="str">
        <f>VLOOKUP(A1236,Holidays!$A$2:$C$2107,3,1)</f>
        <v>N</v>
      </c>
    </row>
    <row r="1237" spans="1:9" x14ac:dyDescent="0.45">
      <c r="A1237" s="1">
        <v>43240</v>
      </c>
      <c r="B1237">
        <v>112349.26</v>
      </c>
      <c r="C1237">
        <v>78.280735460000002</v>
      </c>
      <c r="D1237" s="2">
        <v>11.8</v>
      </c>
      <c r="E1237" s="2">
        <v>16.2</v>
      </c>
      <c r="F1237" s="2">
        <v>1.7</v>
      </c>
      <c r="G1237" s="2">
        <v>0</v>
      </c>
      <c r="H1237" s="2" t="str">
        <f>VLOOKUP(A1237,Holidays!$A$2:$B$2107,2,1)</f>
        <v>Y</v>
      </c>
      <c r="I1237" s="2" t="str">
        <f>VLOOKUP(A1237,Holidays!$A$2:$C$2107,3,1)</f>
        <v>N</v>
      </c>
    </row>
    <row r="1238" spans="1:9" x14ac:dyDescent="0.45">
      <c r="A1238" s="1">
        <v>43241</v>
      </c>
      <c r="B1238">
        <v>124046.80499999999</v>
      </c>
      <c r="C1238">
        <v>82.722971250000001</v>
      </c>
      <c r="D1238" s="2">
        <v>12.6</v>
      </c>
      <c r="E1238" s="2">
        <v>16.7</v>
      </c>
      <c r="F1238" s="2">
        <v>5</v>
      </c>
      <c r="G1238" s="2">
        <v>2.4</v>
      </c>
      <c r="H1238" s="2" t="str">
        <f>VLOOKUP(A1238,Holidays!$A$2:$B$2107,2,1)</f>
        <v>Y</v>
      </c>
      <c r="I1238" s="2" t="str">
        <f>VLOOKUP(A1238,Holidays!$A$2:$C$2107,3,1)</f>
        <v>N</v>
      </c>
    </row>
    <row r="1239" spans="1:9" x14ac:dyDescent="0.45">
      <c r="A1239" s="1">
        <v>43242</v>
      </c>
      <c r="B1239">
        <v>126922.995</v>
      </c>
      <c r="C1239">
        <v>91.621182129999994</v>
      </c>
      <c r="D1239" s="2">
        <v>13</v>
      </c>
      <c r="E1239" s="2">
        <v>17</v>
      </c>
      <c r="F1239" s="2">
        <v>3.6</v>
      </c>
      <c r="G1239" s="2">
        <v>0</v>
      </c>
      <c r="H1239" s="2" t="str">
        <f>VLOOKUP(A1239,Holidays!$A$2:$B$2107,2,1)</f>
        <v>Y</v>
      </c>
      <c r="I1239" s="2" t="str">
        <f>VLOOKUP(A1239,Holidays!$A$2:$C$2107,3,1)</f>
        <v>N</v>
      </c>
    </row>
    <row r="1240" spans="1:9" x14ac:dyDescent="0.45">
      <c r="A1240" s="1">
        <v>43243</v>
      </c>
      <c r="B1240">
        <v>129352.83</v>
      </c>
      <c r="C1240">
        <v>118.6907459</v>
      </c>
      <c r="D1240" s="2">
        <v>11.8</v>
      </c>
      <c r="E1240" s="2">
        <v>15.3</v>
      </c>
      <c r="F1240" s="2">
        <v>6.5</v>
      </c>
      <c r="G1240" s="2">
        <v>4.5999999999999996</v>
      </c>
      <c r="H1240" s="2" t="str">
        <f>VLOOKUP(A1240,Holidays!$A$2:$B$2107,2,1)</f>
        <v>Y</v>
      </c>
      <c r="I1240" s="2" t="str">
        <f>VLOOKUP(A1240,Holidays!$A$2:$C$2107,3,1)</f>
        <v>N</v>
      </c>
    </row>
    <row r="1241" spans="1:9" x14ac:dyDescent="0.45">
      <c r="A1241" s="1">
        <v>43244</v>
      </c>
      <c r="B1241">
        <v>129553.94</v>
      </c>
      <c r="C1241">
        <v>99.488060959999999</v>
      </c>
      <c r="D1241" s="2">
        <v>12.9</v>
      </c>
      <c r="E1241" s="2">
        <v>16.100000000000001</v>
      </c>
      <c r="F1241" s="2">
        <v>5.0999999999999996</v>
      </c>
      <c r="G1241" s="2">
        <v>0</v>
      </c>
      <c r="H1241" s="2" t="str">
        <f>VLOOKUP(A1241,Holidays!$A$2:$B$2107,2,1)</f>
        <v>Y</v>
      </c>
      <c r="I1241" s="2" t="str">
        <f>VLOOKUP(A1241,Holidays!$A$2:$C$2107,3,1)</f>
        <v>N</v>
      </c>
    </row>
    <row r="1242" spans="1:9" x14ac:dyDescent="0.45">
      <c r="A1242" s="1">
        <v>43245</v>
      </c>
      <c r="B1242">
        <v>127957.57</v>
      </c>
      <c r="C1242">
        <v>92.989529200000007</v>
      </c>
      <c r="D1242" s="2">
        <v>9.4</v>
      </c>
      <c r="E1242" s="2">
        <v>14.9</v>
      </c>
      <c r="F1242" s="2">
        <v>9.5</v>
      </c>
      <c r="G1242" s="2">
        <v>0</v>
      </c>
      <c r="H1242" s="2" t="str">
        <f>VLOOKUP(A1242,Holidays!$A$2:$B$2107,2,1)</f>
        <v>Y</v>
      </c>
      <c r="I1242" s="2" t="str">
        <f>VLOOKUP(A1242,Holidays!$A$2:$C$2107,3,1)</f>
        <v>N</v>
      </c>
    </row>
    <row r="1243" spans="1:9" x14ac:dyDescent="0.45">
      <c r="A1243" s="1">
        <v>43246</v>
      </c>
      <c r="B1243">
        <v>115384.08500000001</v>
      </c>
      <c r="C1243">
        <v>74.746741069999999</v>
      </c>
      <c r="D1243" s="2">
        <v>5.2</v>
      </c>
      <c r="E1243" s="2">
        <v>20.5</v>
      </c>
      <c r="F1243" s="2">
        <v>9.9</v>
      </c>
      <c r="G1243" s="2">
        <v>0</v>
      </c>
      <c r="H1243" s="2" t="str">
        <f>VLOOKUP(A1243,Holidays!$A$2:$B$2107,2,1)</f>
        <v>Y</v>
      </c>
      <c r="I1243" s="2" t="str">
        <f>VLOOKUP(A1243,Holidays!$A$2:$C$2107,3,1)</f>
        <v>N</v>
      </c>
    </row>
    <row r="1244" spans="1:9" x14ac:dyDescent="0.45">
      <c r="A1244" s="1">
        <v>43247</v>
      </c>
      <c r="B1244">
        <v>106044.51</v>
      </c>
      <c r="C1244">
        <v>54.187031419999997</v>
      </c>
      <c r="D1244" s="2">
        <v>7.3</v>
      </c>
      <c r="E1244" s="2">
        <v>20.7</v>
      </c>
      <c r="F1244" s="2">
        <v>8</v>
      </c>
      <c r="G1244" s="2">
        <v>0</v>
      </c>
      <c r="H1244" s="2" t="str">
        <f>VLOOKUP(A1244,Holidays!$A$2:$B$2107,2,1)</f>
        <v>Y</v>
      </c>
      <c r="I1244" s="2" t="str">
        <f>VLOOKUP(A1244,Holidays!$A$2:$C$2107,3,1)</f>
        <v>N</v>
      </c>
    </row>
    <row r="1245" spans="1:9" x14ac:dyDescent="0.45">
      <c r="A1245" s="1">
        <v>43248</v>
      </c>
      <c r="B1245">
        <v>119360.265</v>
      </c>
      <c r="C1245">
        <v>70.171557399999998</v>
      </c>
      <c r="D1245" s="2">
        <v>12.9</v>
      </c>
      <c r="E1245" s="2">
        <v>20.5</v>
      </c>
      <c r="F1245" s="2">
        <v>6</v>
      </c>
      <c r="G1245" s="2">
        <v>0</v>
      </c>
      <c r="H1245" s="2" t="str">
        <f>VLOOKUP(A1245,Holidays!$A$2:$B$2107,2,1)</f>
        <v>Y</v>
      </c>
      <c r="I1245" s="2" t="str">
        <f>VLOOKUP(A1245,Holidays!$A$2:$C$2107,3,1)</f>
        <v>N</v>
      </c>
    </row>
    <row r="1246" spans="1:9" x14ac:dyDescent="0.45">
      <c r="A1246" s="1">
        <v>43249</v>
      </c>
      <c r="B1246">
        <v>123142.76</v>
      </c>
      <c r="C1246">
        <v>81.978399519999996</v>
      </c>
      <c r="D1246" s="2">
        <v>13.7</v>
      </c>
      <c r="E1246" s="2">
        <v>17.899999999999999</v>
      </c>
      <c r="F1246" s="2">
        <v>8.1</v>
      </c>
      <c r="G1246" s="2">
        <v>0.8</v>
      </c>
      <c r="H1246" s="2" t="str">
        <f>VLOOKUP(A1246,Holidays!$A$2:$B$2107,2,1)</f>
        <v>Y</v>
      </c>
      <c r="I1246" s="2" t="str">
        <f>VLOOKUP(A1246,Holidays!$A$2:$C$2107,3,1)</f>
        <v>N</v>
      </c>
    </row>
    <row r="1247" spans="1:9" x14ac:dyDescent="0.45">
      <c r="A1247" s="1">
        <v>43250</v>
      </c>
      <c r="B1247">
        <v>127830.62</v>
      </c>
      <c r="C1247">
        <v>82.535944020000002</v>
      </c>
      <c r="D1247" s="2">
        <v>7.7</v>
      </c>
      <c r="E1247" s="2">
        <v>15.1</v>
      </c>
      <c r="F1247" s="2">
        <v>7.9</v>
      </c>
      <c r="G1247" s="2">
        <v>0</v>
      </c>
      <c r="H1247" s="2" t="str">
        <f>VLOOKUP(A1247,Holidays!$A$2:$B$2107,2,1)</f>
        <v>Y</v>
      </c>
      <c r="I1247" s="2" t="str">
        <f>VLOOKUP(A1247,Holidays!$A$2:$C$2107,3,1)</f>
        <v>N</v>
      </c>
    </row>
    <row r="1248" spans="1:9" x14ac:dyDescent="0.45">
      <c r="A1248" s="1">
        <v>43251</v>
      </c>
      <c r="B1248">
        <v>131159.94500000001</v>
      </c>
      <c r="C1248">
        <v>90.357837750000002</v>
      </c>
      <c r="D1248" s="2">
        <v>9.6</v>
      </c>
      <c r="E1248" s="2">
        <v>14.8</v>
      </c>
      <c r="F1248" s="2">
        <v>7.6</v>
      </c>
      <c r="G1248" s="2">
        <v>5</v>
      </c>
      <c r="H1248" s="2" t="str">
        <f>VLOOKUP(A1248,Holidays!$A$2:$B$2107,2,1)</f>
        <v>Y</v>
      </c>
      <c r="I1248" s="2" t="str">
        <f>VLOOKUP(A1248,Holidays!$A$2:$C$2107,3,1)</f>
        <v>N</v>
      </c>
    </row>
    <row r="1249" spans="1:9" x14ac:dyDescent="0.45">
      <c r="A1249" s="1">
        <v>43252</v>
      </c>
      <c r="B1249">
        <v>135864.065</v>
      </c>
      <c r="C1249">
        <v>101.4128802</v>
      </c>
      <c r="D1249" s="2">
        <v>4.0999999999999996</v>
      </c>
      <c r="E1249" s="2">
        <v>13.3</v>
      </c>
      <c r="F1249" s="2">
        <v>9.6</v>
      </c>
      <c r="G1249" s="2">
        <v>0</v>
      </c>
      <c r="H1249" s="2" t="str">
        <f>VLOOKUP(A1249,Holidays!$A$2:$B$2107,2,1)</f>
        <v>Y</v>
      </c>
      <c r="I1249" s="2" t="str">
        <f>VLOOKUP(A1249,Holidays!$A$2:$C$2107,3,1)</f>
        <v>N</v>
      </c>
    </row>
    <row r="1250" spans="1:9" x14ac:dyDescent="0.45">
      <c r="A1250" s="1">
        <v>43253</v>
      </c>
      <c r="B1250">
        <v>123226.075</v>
      </c>
      <c r="C1250">
        <v>99.853479250000007</v>
      </c>
      <c r="D1250" s="2">
        <v>3.5</v>
      </c>
      <c r="E1250" s="2">
        <v>13.6</v>
      </c>
      <c r="F1250" s="2">
        <v>9.6</v>
      </c>
      <c r="G1250" s="2">
        <v>0.2</v>
      </c>
      <c r="H1250" s="2" t="str">
        <f>VLOOKUP(A1250,Holidays!$A$2:$B$2107,2,1)</f>
        <v>Y</v>
      </c>
      <c r="I1250" s="2" t="str">
        <f>VLOOKUP(A1250,Holidays!$A$2:$C$2107,3,1)</f>
        <v>N</v>
      </c>
    </row>
    <row r="1251" spans="1:9" x14ac:dyDescent="0.45">
      <c r="A1251" s="1">
        <v>43254</v>
      </c>
      <c r="B1251">
        <v>121177.58500000001</v>
      </c>
      <c r="C1251">
        <v>91.043729630000001</v>
      </c>
      <c r="D1251" s="2">
        <v>4.3</v>
      </c>
      <c r="E1251" s="2">
        <v>13.8</v>
      </c>
      <c r="F1251" s="2">
        <v>8.5</v>
      </c>
      <c r="G1251" s="2">
        <v>0</v>
      </c>
      <c r="H1251" s="2" t="str">
        <f>VLOOKUP(A1251,Holidays!$A$2:$B$2107,2,1)</f>
        <v>Y</v>
      </c>
      <c r="I1251" s="2" t="str">
        <f>VLOOKUP(A1251,Holidays!$A$2:$C$2107,3,1)</f>
        <v>N</v>
      </c>
    </row>
    <row r="1252" spans="1:9" x14ac:dyDescent="0.45">
      <c r="A1252" s="1">
        <v>43255</v>
      </c>
      <c r="B1252">
        <v>135385.41</v>
      </c>
      <c r="C1252">
        <v>120.25203740000001</v>
      </c>
      <c r="D1252" s="2">
        <v>4.5</v>
      </c>
      <c r="E1252" s="2">
        <v>14.4</v>
      </c>
      <c r="F1252" s="2">
        <v>9.3000000000000007</v>
      </c>
      <c r="G1252" s="2">
        <v>0</v>
      </c>
      <c r="H1252" s="2" t="str">
        <f>VLOOKUP(A1252,Holidays!$A$2:$B$2107,2,1)</f>
        <v>Y</v>
      </c>
      <c r="I1252" s="2" t="str">
        <f>VLOOKUP(A1252,Holidays!$A$2:$C$2107,3,1)</f>
        <v>N</v>
      </c>
    </row>
    <row r="1253" spans="1:9" x14ac:dyDescent="0.45">
      <c r="A1253" s="1">
        <v>43256</v>
      </c>
      <c r="B1253">
        <v>132975.13</v>
      </c>
      <c r="C1253">
        <v>105.8039052</v>
      </c>
      <c r="D1253" s="2">
        <v>7.5</v>
      </c>
      <c r="E1253" s="2">
        <v>15</v>
      </c>
      <c r="F1253" s="2">
        <v>8.8000000000000007</v>
      </c>
      <c r="G1253" s="2">
        <v>1.6</v>
      </c>
      <c r="H1253" s="2" t="str">
        <f>VLOOKUP(A1253,Holidays!$A$2:$B$2107,2,1)</f>
        <v>Y</v>
      </c>
      <c r="I1253" s="2" t="str">
        <f>VLOOKUP(A1253,Holidays!$A$2:$C$2107,3,1)</f>
        <v>N</v>
      </c>
    </row>
    <row r="1254" spans="1:9" x14ac:dyDescent="0.45">
      <c r="A1254" s="1">
        <v>43257</v>
      </c>
      <c r="B1254">
        <v>132038.42499999999</v>
      </c>
      <c r="C1254">
        <v>106.2306746</v>
      </c>
      <c r="D1254" s="2">
        <v>5.6</v>
      </c>
      <c r="E1254" s="2">
        <v>19.100000000000001</v>
      </c>
      <c r="F1254" s="2">
        <v>9.4</v>
      </c>
      <c r="G1254" s="2">
        <v>0.4</v>
      </c>
      <c r="H1254" s="2" t="str">
        <f>VLOOKUP(A1254,Holidays!$A$2:$B$2107,2,1)</f>
        <v>Y</v>
      </c>
      <c r="I1254" s="2" t="str">
        <f>VLOOKUP(A1254,Holidays!$A$2:$C$2107,3,1)</f>
        <v>N</v>
      </c>
    </row>
    <row r="1255" spans="1:9" x14ac:dyDescent="0.45">
      <c r="A1255" s="1">
        <v>43258</v>
      </c>
      <c r="B1255">
        <v>128577.63</v>
      </c>
      <c r="C1255">
        <v>87.710791130000004</v>
      </c>
      <c r="D1255" s="2">
        <v>7.7</v>
      </c>
      <c r="E1255" s="2">
        <v>17.8</v>
      </c>
      <c r="F1255" s="2">
        <v>5.7</v>
      </c>
      <c r="G1255" s="2">
        <v>0.2</v>
      </c>
      <c r="H1255" s="2" t="str">
        <f>VLOOKUP(A1255,Holidays!$A$2:$B$2107,2,1)</f>
        <v>Y</v>
      </c>
      <c r="I1255" s="2" t="str">
        <f>VLOOKUP(A1255,Holidays!$A$2:$C$2107,3,1)</f>
        <v>N</v>
      </c>
    </row>
    <row r="1256" spans="1:9" x14ac:dyDescent="0.45">
      <c r="A1256" s="1">
        <v>43259</v>
      </c>
      <c r="B1256">
        <v>129910.015</v>
      </c>
      <c r="C1256">
        <v>130.0827333</v>
      </c>
      <c r="D1256" s="2">
        <v>12.4</v>
      </c>
      <c r="E1256" s="2">
        <v>13.6</v>
      </c>
      <c r="F1256" s="2">
        <v>3.3</v>
      </c>
      <c r="G1256" s="2">
        <v>0.6</v>
      </c>
      <c r="H1256" s="2" t="str">
        <f>VLOOKUP(A1256,Holidays!$A$2:$B$2107,2,1)</f>
        <v>Y</v>
      </c>
      <c r="I1256" s="2" t="str">
        <f>VLOOKUP(A1256,Holidays!$A$2:$C$2107,3,1)</f>
        <v>N</v>
      </c>
    </row>
    <row r="1257" spans="1:9" x14ac:dyDescent="0.45">
      <c r="A1257" s="1">
        <v>43260</v>
      </c>
      <c r="B1257">
        <v>120232.19500000001</v>
      </c>
      <c r="C1257">
        <v>110.6732404</v>
      </c>
      <c r="D1257" s="2">
        <v>11.3</v>
      </c>
      <c r="E1257" s="2">
        <v>15.6</v>
      </c>
      <c r="F1257" s="2">
        <v>8</v>
      </c>
      <c r="G1257" s="2">
        <v>3</v>
      </c>
      <c r="H1257" s="2" t="str">
        <f>VLOOKUP(A1257,Holidays!$A$2:$B$2107,2,1)</f>
        <v>Y</v>
      </c>
      <c r="I1257" s="2" t="str">
        <f>VLOOKUP(A1257,Holidays!$A$2:$C$2107,3,1)</f>
        <v>N</v>
      </c>
    </row>
    <row r="1258" spans="1:9" x14ac:dyDescent="0.45">
      <c r="A1258" s="1">
        <v>43261</v>
      </c>
      <c r="B1258">
        <v>117037.86500000001</v>
      </c>
      <c r="C1258">
        <v>75.51946753</v>
      </c>
      <c r="D1258" s="2">
        <v>4.0999999999999996</v>
      </c>
      <c r="E1258" s="2">
        <v>15.3</v>
      </c>
      <c r="F1258" s="2">
        <v>9.3000000000000007</v>
      </c>
      <c r="G1258" s="2">
        <v>0</v>
      </c>
      <c r="H1258" s="2" t="str">
        <f>VLOOKUP(A1258,Holidays!$A$2:$B$2107,2,1)</f>
        <v>Y</v>
      </c>
      <c r="I1258" s="2" t="str">
        <f>VLOOKUP(A1258,Holidays!$A$2:$C$2107,3,1)</f>
        <v>N</v>
      </c>
    </row>
    <row r="1259" spans="1:9" x14ac:dyDescent="0.45">
      <c r="A1259" s="1">
        <v>43262</v>
      </c>
      <c r="B1259">
        <v>113420.985</v>
      </c>
      <c r="C1259">
        <v>56.39994652</v>
      </c>
      <c r="D1259" s="2">
        <v>5.3</v>
      </c>
      <c r="E1259" s="2">
        <v>17.600000000000001</v>
      </c>
      <c r="F1259" s="2">
        <v>8.9</v>
      </c>
      <c r="G1259" s="2">
        <v>0.2</v>
      </c>
      <c r="H1259" s="2" t="str">
        <f>VLOOKUP(A1259,Holidays!$A$2:$B$2107,2,1)</f>
        <v>Y</v>
      </c>
      <c r="I1259" s="2" t="str">
        <f>VLOOKUP(A1259,Holidays!$A$2:$C$2107,3,1)</f>
        <v>Y</v>
      </c>
    </row>
    <row r="1260" spans="1:9" x14ac:dyDescent="0.45">
      <c r="A1260" s="1">
        <v>43263</v>
      </c>
      <c r="B1260">
        <v>127261.295</v>
      </c>
      <c r="C1260">
        <v>78.294416310000003</v>
      </c>
      <c r="D1260" s="2">
        <v>7.9</v>
      </c>
      <c r="E1260" s="2">
        <v>16.600000000000001</v>
      </c>
      <c r="F1260" s="2">
        <v>6.7</v>
      </c>
      <c r="G1260" s="2">
        <v>0.4</v>
      </c>
      <c r="H1260" s="2" t="str">
        <f>VLOOKUP(A1260,Holidays!$A$2:$B$2107,2,1)</f>
        <v>Y</v>
      </c>
      <c r="I1260" s="2" t="str">
        <f>VLOOKUP(A1260,Holidays!$A$2:$C$2107,3,1)</f>
        <v>N</v>
      </c>
    </row>
    <row r="1261" spans="1:9" x14ac:dyDescent="0.45">
      <c r="A1261" s="1">
        <v>43264</v>
      </c>
      <c r="B1261">
        <v>131574.60500000001</v>
      </c>
      <c r="C1261">
        <v>84.579532720000003</v>
      </c>
      <c r="D1261" s="2">
        <v>9.5</v>
      </c>
      <c r="E1261" s="2">
        <v>14.1</v>
      </c>
      <c r="F1261" s="2">
        <v>7.1</v>
      </c>
      <c r="G1261" s="2">
        <v>0</v>
      </c>
      <c r="H1261" s="2" t="str">
        <f>VLOOKUP(A1261,Holidays!$A$2:$B$2107,2,1)</f>
        <v>Y</v>
      </c>
      <c r="I1261" s="2" t="str">
        <f>VLOOKUP(A1261,Holidays!$A$2:$C$2107,3,1)</f>
        <v>N</v>
      </c>
    </row>
    <row r="1262" spans="1:9" x14ac:dyDescent="0.45">
      <c r="A1262" s="1">
        <v>43265</v>
      </c>
      <c r="B1262">
        <v>130544.485</v>
      </c>
      <c r="C1262">
        <v>72.49179642</v>
      </c>
      <c r="D1262" s="2">
        <v>8.6</v>
      </c>
      <c r="E1262" s="2">
        <v>14.5</v>
      </c>
      <c r="F1262" s="2">
        <v>7.8</v>
      </c>
      <c r="G1262" s="2">
        <v>5.6</v>
      </c>
      <c r="H1262" s="2" t="str">
        <f>VLOOKUP(A1262,Holidays!$A$2:$B$2107,2,1)</f>
        <v>Y</v>
      </c>
      <c r="I1262" s="2" t="str">
        <f>VLOOKUP(A1262,Holidays!$A$2:$C$2107,3,1)</f>
        <v>N</v>
      </c>
    </row>
    <row r="1263" spans="1:9" x14ac:dyDescent="0.45">
      <c r="A1263" s="1">
        <v>43266</v>
      </c>
      <c r="B1263">
        <v>133009.01</v>
      </c>
      <c r="C1263">
        <v>74.905585810000005</v>
      </c>
      <c r="D1263" s="2">
        <v>9.6</v>
      </c>
      <c r="E1263" s="2">
        <v>14</v>
      </c>
      <c r="F1263" s="2">
        <v>4.4000000000000004</v>
      </c>
      <c r="G1263" s="2">
        <v>4.5999999999999996</v>
      </c>
      <c r="H1263" s="2" t="str">
        <f>VLOOKUP(A1263,Holidays!$A$2:$B$2107,2,1)</f>
        <v>Y</v>
      </c>
      <c r="I1263" s="2" t="str">
        <f>VLOOKUP(A1263,Holidays!$A$2:$C$2107,3,1)</f>
        <v>N</v>
      </c>
    </row>
    <row r="1264" spans="1:9" x14ac:dyDescent="0.45">
      <c r="A1264" s="1">
        <v>43267</v>
      </c>
      <c r="B1264">
        <v>124351.235</v>
      </c>
      <c r="C1264">
        <v>81.800766879999998</v>
      </c>
      <c r="D1264" s="2">
        <v>6.9</v>
      </c>
      <c r="E1264" s="2">
        <v>13.1</v>
      </c>
      <c r="F1264" s="2">
        <v>7.1</v>
      </c>
      <c r="G1264" s="2">
        <v>2.2000000000000002</v>
      </c>
      <c r="H1264" s="2" t="str">
        <f>VLOOKUP(A1264,Holidays!$A$2:$B$2107,2,1)</f>
        <v>Y</v>
      </c>
      <c r="I1264" s="2" t="str">
        <f>VLOOKUP(A1264,Holidays!$A$2:$C$2107,3,1)</f>
        <v>N</v>
      </c>
    </row>
    <row r="1265" spans="1:9" x14ac:dyDescent="0.45">
      <c r="A1265" s="1">
        <v>43268</v>
      </c>
      <c r="B1265">
        <v>120785.595</v>
      </c>
      <c r="C1265">
        <v>62.272671549999998</v>
      </c>
      <c r="D1265" s="2">
        <v>8</v>
      </c>
      <c r="E1265" s="2">
        <v>13.1</v>
      </c>
      <c r="F1265" s="2">
        <v>5.0999999999999996</v>
      </c>
      <c r="G1265" s="2">
        <v>15.6</v>
      </c>
      <c r="H1265" s="2" t="str">
        <f>VLOOKUP(A1265,Holidays!$A$2:$B$2107,2,1)</f>
        <v>Y</v>
      </c>
      <c r="I1265" s="2" t="str">
        <f>VLOOKUP(A1265,Holidays!$A$2:$C$2107,3,1)</f>
        <v>N</v>
      </c>
    </row>
    <row r="1266" spans="1:9" x14ac:dyDescent="0.45">
      <c r="A1266" s="1">
        <v>43269</v>
      </c>
      <c r="B1266">
        <v>138518.73499999999</v>
      </c>
      <c r="C1266">
        <v>112.5014975</v>
      </c>
      <c r="D1266" s="2">
        <v>9.5</v>
      </c>
      <c r="E1266" s="2">
        <v>12</v>
      </c>
      <c r="F1266" s="2">
        <v>5.9</v>
      </c>
      <c r="G1266" s="2">
        <v>7.2</v>
      </c>
      <c r="H1266" s="2" t="str">
        <f>VLOOKUP(A1266,Holidays!$A$2:$B$2107,2,1)</f>
        <v>Y</v>
      </c>
      <c r="I1266" s="2" t="str">
        <f>VLOOKUP(A1266,Holidays!$A$2:$C$2107,3,1)</f>
        <v>N</v>
      </c>
    </row>
    <row r="1267" spans="1:9" x14ac:dyDescent="0.45">
      <c r="A1267" s="1">
        <v>43270</v>
      </c>
      <c r="B1267">
        <v>143830.12</v>
      </c>
      <c r="C1267">
        <v>110.05619040000001</v>
      </c>
      <c r="D1267" s="2">
        <v>3</v>
      </c>
      <c r="E1267" s="2">
        <v>14.5</v>
      </c>
      <c r="F1267" s="2">
        <v>9</v>
      </c>
      <c r="G1267" s="2">
        <v>0.4</v>
      </c>
      <c r="H1267" s="2" t="str">
        <f>VLOOKUP(A1267,Holidays!$A$2:$B$2107,2,1)</f>
        <v>Y</v>
      </c>
      <c r="I1267" s="2" t="str">
        <f>VLOOKUP(A1267,Holidays!$A$2:$C$2107,3,1)</f>
        <v>N</v>
      </c>
    </row>
    <row r="1268" spans="1:9" x14ac:dyDescent="0.45">
      <c r="A1268" s="1">
        <v>43271</v>
      </c>
      <c r="B1268">
        <v>141305.88</v>
      </c>
      <c r="C1268">
        <v>91.289341919999998</v>
      </c>
      <c r="D1268" s="2">
        <v>4.3</v>
      </c>
      <c r="E1268" s="2">
        <v>15.3</v>
      </c>
      <c r="F1268" s="2">
        <v>8</v>
      </c>
      <c r="G1268" s="2">
        <v>0.2</v>
      </c>
      <c r="H1268" s="2" t="str">
        <f>VLOOKUP(A1268,Holidays!$A$2:$B$2107,2,1)</f>
        <v>Y</v>
      </c>
      <c r="I1268" s="2" t="str">
        <f>VLOOKUP(A1268,Holidays!$A$2:$C$2107,3,1)</f>
        <v>N</v>
      </c>
    </row>
    <row r="1269" spans="1:9" x14ac:dyDescent="0.45">
      <c r="A1269" s="1">
        <v>43272</v>
      </c>
      <c r="B1269">
        <v>143542.01999999999</v>
      </c>
      <c r="C1269">
        <v>141.55697810000001</v>
      </c>
      <c r="D1269" s="2">
        <v>4</v>
      </c>
      <c r="E1269" s="2">
        <v>15.1</v>
      </c>
      <c r="F1269" s="2">
        <v>9.1</v>
      </c>
      <c r="G1269" s="2">
        <v>0</v>
      </c>
      <c r="H1269" s="2" t="str">
        <f>VLOOKUP(A1269,Holidays!$A$2:$B$2107,2,1)</f>
        <v>Y</v>
      </c>
      <c r="I1269" s="2" t="str">
        <f>VLOOKUP(A1269,Holidays!$A$2:$C$2107,3,1)</f>
        <v>N</v>
      </c>
    </row>
    <row r="1270" spans="1:9" x14ac:dyDescent="0.45">
      <c r="A1270" s="1">
        <v>43273</v>
      </c>
      <c r="B1270">
        <v>140296.4</v>
      </c>
      <c r="C1270">
        <v>131.5621328</v>
      </c>
      <c r="D1270" s="2">
        <v>4.3</v>
      </c>
      <c r="E1270" s="2">
        <v>15</v>
      </c>
      <c r="F1270" s="2">
        <v>8.5</v>
      </c>
      <c r="G1270" s="2">
        <v>0</v>
      </c>
      <c r="H1270" s="2" t="str">
        <f>VLOOKUP(A1270,Holidays!$A$2:$B$2107,2,1)</f>
        <v>Y</v>
      </c>
      <c r="I1270" s="2" t="str">
        <f>VLOOKUP(A1270,Holidays!$A$2:$C$2107,3,1)</f>
        <v>N</v>
      </c>
    </row>
    <row r="1271" spans="1:9" x14ac:dyDescent="0.45">
      <c r="A1271" s="1">
        <v>43274</v>
      </c>
      <c r="B1271">
        <v>132165.42499999999</v>
      </c>
      <c r="C1271">
        <v>98.836365509999993</v>
      </c>
      <c r="D1271" s="2">
        <v>6</v>
      </c>
      <c r="E1271" s="2">
        <v>12.8</v>
      </c>
      <c r="F1271" s="2">
        <v>3.9</v>
      </c>
      <c r="G1271" s="2">
        <v>0</v>
      </c>
      <c r="H1271" s="2" t="str">
        <f>VLOOKUP(A1271,Holidays!$A$2:$B$2107,2,1)</f>
        <v>Y</v>
      </c>
      <c r="I1271" s="2" t="str">
        <f>VLOOKUP(A1271,Holidays!$A$2:$C$2107,3,1)</f>
        <v>N</v>
      </c>
    </row>
    <row r="1272" spans="1:9" x14ac:dyDescent="0.45">
      <c r="A1272" s="1">
        <v>43275</v>
      </c>
      <c r="B1272">
        <v>125850.58</v>
      </c>
      <c r="C1272">
        <v>95.155970719999999</v>
      </c>
      <c r="D1272" s="2">
        <v>9</v>
      </c>
      <c r="E1272" s="2">
        <v>13.1</v>
      </c>
      <c r="F1272" s="2">
        <v>5.7</v>
      </c>
      <c r="G1272" s="2">
        <v>0</v>
      </c>
      <c r="H1272" s="2" t="str">
        <f>VLOOKUP(A1272,Holidays!$A$2:$B$2107,2,1)</f>
        <v>Y</v>
      </c>
      <c r="I1272" s="2" t="str">
        <f>VLOOKUP(A1272,Holidays!$A$2:$C$2107,3,1)</f>
        <v>N</v>
      </c>
    </row>
    <row r="1273" spans="1:9" x14ac:dyDescent="0.45">
      <c r="A1273" s="1">
        <v>43276</v>
      </c>
      <c r="B1273">
        <v>141972.715</v>
      </c>
      <c r="C1273">
        <v>120.2781698</v>
      </c>
      <c r="D1273" s="2">
        <v>8.4</v>
      </c>
      <c r="E1273" s="2">
        <v>12.6</v>
      </c>
      <c r="F1273" s="2">
        <v>7.8</v>
      </c>
      <c r="G1273" s="2">
        <v>0</v>
      </c>
      <c r="H1273" s="2" t="str">
        <f>VLOOKUP(A1273,Holidays!$A$2:$B$2107,2,1)</f>
        <v>Y</v>
      </c>
      <c r="I1273" s="2" t="str">
        <f>VLOOKUP(A1273,Holidays!$A$2:$C$2107,3,1)</f>
        <v>N</v>
      </c>
    </row>
    <row r="1274" spans="1:9" x14ac:dyDescent="0.45">
      <c r="A1274" s="1">
        <v>43277</v>
      </c>
      <c r="B1274">
        <v>142842.4</v>
      </c>
      <c r="C1274">
        <v>102.3492036</v>
      </c>
      <c r="D1274" s="2">
        <v>8.4</v>
      </c>
      <c r="E1274" s="2">
        <v>14.1</v>
      </c>
      <c r="F1274" s="2">
        <v>6.6</v>
      </c>
      <c r="G1274" s="2">
        <v>0</v>
      </c>
      <c r="H1274" s="2" t="str">
        <f>VLOOKUP(A1274,Holidays!$A$2:$B$2107,2,1)</f>
        <v>Y</v>
      </c>
      <c r="I1274" s="2" t="str">
        <f>VLOOKUP(A1274,Holidays!$A$2:$C$2107,3,1)</f>
        <v>N</v>
      </c>
    </row>
    <row r="1275" spans="1:9" x14ac:dyDescent="0.45">
      <c r="A1275" s="1">
        <v>43278</v>
      </c>
      <c r="B1275">
        <v>148100.13</v>
      </c>
      <c r="C1275">
        <v>102.4178146</v>
      </c>
      <c r="D1275" s="2">
        <v>4.8</v>
      </c>
      <c r="E1275" s="2">
        <v>11.2</v>
      </c>
      <c r="F1275" s="2">
        <v>6</v>
      </c>
      <c r="G1275" s="2">
        <v>0.2</v>
      </c>
      <c r="H1275" s="2" t="str">
        <f>VLOOKUP(A1275,Holidays!$A$2:$B$2107,2,1)</f>
        <v>Y</v>
      </c>
      <c r="I1275" s="2" t="str">
        <f>VLOOKUP(A1275,Holidays!$A$2:$C$2107,3,1)</f>
        <v>N</v>
      </c>
    </row>
    <row r="1276" spans="1:9" x14ac:dyDescent="0.45">
      <c r="A1276" s="1">
        <v>43279</v>
      </c>
      <c r="B1276">
        <v>150445.47</v>
      </c>
      <c r="C1276">
        <v>112.8005434</v>
      </c>
      <c r="D1276" s="2">
        <v>5.3</v>
      </c>
      <c r="E1276" s="2">
        <v>10.6</v>
      </c>
      <c r="F1276" s="2">
        <v>5.2</v>
      </c>
      <c r="G1276" s="2">
        <v>0</v>
      </c>
      <c r="H1276" s="2" t="str">
        <f>VLOOKUP(A1276,Holidays!$A$2:$B$2107,2,1)</f>
        <v>Y</v>
      </c>
      <c r="I1276" s="2" t="str">
        <f>VLOOKUP(A1276,Holidays!$A$2:$C$2107,3,1)</f>
        <v>N</v>
      </c>
    </row>
    <row r="1277" spans="1:9" x14ac:dyDescent="0.45">
      <c r="A1277" s="1">
        <v>43280</v>
      </c>
      <c r="B1277">
        <v>139188.48000000001</v>
      </c>
      <c r="C1277">
        <v>78.806642740000001</v>
      </c>
      <c r="D1277" s="2">
        <v>6.1</v>
      </c>
      <c r="E1277" s="2">
        <v>12.5</v>
      </c>
      <c r="F1277" s="2">
        <v>6.1</v>
      </c>
      <c r="G1277" s="2">
        <v>0.2</v>
      </c>
      <c r="H1277" s="2" t="str">
        <f>VLOOKUP(A1277,Holidays!$A$2:$B$2107,2,1)</f>
        <v>N</v>
      </c>
      <c r="I1277" s="2" t="str">
        <f>VLOOKUP(A1277,Holidays!$A$2:$C$2107,3,1)</f>
        <v>N</v>
      </c>
    </row>
    <row r="1278" spans="1:9" x14ac:dyDescent="0.45">
      <c r="A1278" s="1">
        <v>43281</v>
      </c>
      <c r="B1278">
        <v>125394.425</v>
      </c>
      <c r="C1278">
        <v>72.963672560000006</v>
      </c>
      <c r="D1278" s="2">
        <v>9.4</v>
      </c>
      <c r="E1278" s="2">
        <v>14.2</v>
      </c>
      <c r="F1278" s="2">
        <v>4.9000000000000004</v>
      </c>
      <c r="G1278" s="2">
        <v>0.4</v>
      </c>
      <c r="H1278" s="2" t="str">
        <f>VLOOKUP(A1278,Holidays!$A$2:$B$2107,2,1)</f>
        <v>N</v>
      </c>
      <c r="I1278" s="2" t="str">
        <f>VLOOKUP(A1278,Holidays!$A$2:$C$2107,3,1)</f>
        <v>N</v>
      </c>
    </row>
    <row r="1279" spans="1:9" x14ac:dyDescent="0.45">
      <c r="A1279" s="1">
        <v>43282</v>
      </c>
      <c r="B1279">
        <v>124313.07</v>
      </c>
      <c r="C1279">
        <v>83.374992370000001</v>
      </c>
      <c r="D1279" s="2">
        <v>3.5</v>
      </c>
      <c r="E1279" s="2">
        <v>14.7</v>
      </c>
      <c r="F1279" s="2">
        <v>8.8000000000000007</v>
      </c>
      <c r="G1279" s="2">
        <v>0.4</v>
      </c>
      <c r="H1279" s="2" t="str">
        <f>VLOOKUP(A1279,Holidays!$A$2:$B$2107,2,1)</f>
        <v>N</v>
      </c>
      <c r="I1279" s="2" t="str">
        <f>VLOOKUP(A1279,Holidays!$A$2:$C$2107,3,1)</f>
        <v>N</v>
      </c>
    </row>
    <row r="1280" spans="1:9" x14ac:dyDescent="0.45">
      <c r="A1280" s="1">
        <v>43283</v>
      </c>
      <c r="B1280">
        <v>140713.255</v>
      </c>
      <c r="C1280">
        <v>87.324295090000007</v>
      </c>
      <c r="D1280" s="2">
        <v>2.4</v>
      </c>
      <c r="E1280" s="2">
        <v>14.6</v>
      </c>
      <c r="F1280" s="2">
        <v>9.4</v>
      </c>
      <c r="G1280" s="2">
        <v>0</v>
      </c>
      <c r="H1280" s="2" t="str">
        <f>VLOOKUP(A1280,Holidays!$A$2:$B$2107,2,1)</f>
        <v>N</v>
      </c>
      <c r="I1280" s="2" t="str">
        <f>VLOOKUP(A1280,Holidays!$A$2:$C$2107,3,1)</f>
        <v>N</v>
      </c>
    </row>
    <row r="1281" spans="1:9" x14ac:dyDescent="0.45">
      <c r="A1281" s="1">
        <v>43284</v>
      </c>
      <c r="B1281">
        <v>135759.27499999999</v>
      </c>
      <c r="C1281">
        <v>64.592088889999999</v>
      </c>
      <c r="D1281" s="2">
        <v>4.0999999999999996</v>
      </c>
      <c r="E1281" s="2">
        <v>14.3</v>
      </c>
      <c r="F1281" s="2">
        <v>6.7</v>
      </c>
      <c r="G1281" s="2">
        <v>0</v>
      </c>
      <c r="H1281" s="2" t="str">
        <f>VLOOKUP(A1281,Holidays!$A$2:$B$2107,2,1)</f>
        <v>N</v>
      </c>
      <c r="I1281" s="2" t="str">
        <f>VLOOKUP(A1281,Holidays!$A$2:$C$2107,3,1)</f>
        <v>N</v>
      </c>
    </row>
    <row r="1282" spans="1:9" x14ac:dyDescent="0.45">
      <c r="A1282" s="1">
        <v>43285</v>
      </c>
      <c r="B1282">
        <v>128580.97500000001</v>
      </c>
      <c r="C1282">
        <v>57.008099029999997</v>
      </c>
      <c r="D1282" s="2">
        <v>10.4</v>
      </c>
      <c r="E1282" s="2">
        <v>17.100000000000001</v>
      </c>
      <c r="F1282" s="2">
        <v>6</v>
      </c>
      <c r="G1282" s="2">
        <v>0</v>
      </c>
      <c r="H1282" s="2" t="str">
        <f>VLOOKUP(A1282,Holidays!$A$2:$B$2107,2,1)</f>
        <v>N</v>
      </c>
      <c r="I1282" s="2" t="str">
        <f>VLOOKUP(A1282,Holidays!$A$2:$C$2107,3,1)</f>
        <v>N</v>
      </c>
    </row>
    <row r="1283" spans="1:9" x14ac:dyDescent="0.45">
      <c r="A1283" s="1">
        <v>43286</v>
      </c>
      <c r="B1283">
        <v>125861.6</v>
      </c>
      <c r="C1283">
        <v>52.743567519999999</v>
      </c>
      <c r="D1283" s="2">
        <v>12.7</v>
      </c>
      <c r="E1283" s="2">
        <v>18.7</v>
      </c>
      <c r="F1283" s="2">
        <v>2.8</v>
      </c>
      <c r="G1283" s="2">
        <v>0.4</v>
      </c>
      <c r="H1283" s="2" t="str">
        <f>VLOOKUP(A1283,Holidays!$A$2:$B$2107,2,1)</f>
        <v>N</v>
      </c>
      <c r="I1283" s="2" t="str">
        <f>VLOOKUP(A1283,Holidays!$A$2:$C$2107,3,1)</f>
        <v>N</v>
      </c>
    </row>
    <row r="1284" spans="1:9" x14ac:dyDescent="0.45">
      <c r="A1284" s="1">
        <v>43287</v>
      </c>
      <c r="B1284">
        <v>124242.52</v>
      </c>
      <c r="C1284">
        <v>52.97184575</v>
      </c>
      <c r="D1284" s="2">
        <v>12.5</v>
      </c>
      <c r="E1284" s="2">
        <v>15.2</v>
      </c>
      <c r="F1284" s="2">
        <v>8.3000000000000007</v>
      </c>
      <c r="G1284" s="2">
        <v>0</v>
      </c>
      <c r="H1284" s="2" t="str">
        <f>VLOOKUP(A1284,Holidays!$A$2:$B$2107,2,1)</f>
        <v>N</v>
      </c>
      <c r="I1284" s="2" t="str">
        <f>VLOOKUP(A1284,Holidays!$A$2:$C$2107,3,1)</f>
        <v>N</v>
      </c>
    </row>
    <row r="1285" spans="1:9" x14ac:dyDescent="0.45">
      <c r="A1285" s="1">
        <v>43288</v>
      </c>
      <c r="B1285">
        <v>119717.435</v>
      </c>
      <c r="C1285">
        <v>45.21171494</v>
      </c>
      <c r="D1285" s="2">
        <v>9.6</v>
      </c>
      <c r="E1285" s="2">
        <v>12.9</v>
      </c>
      <c r="F1285" s="2">
        <v>6.5</v>
      </c>
      <c r="G1285" s="2">
        <v>1.2</v>
      </c>
      <c r="H1285" s="2" t="str">
        <f>VLOOKUP(A1285,Holidays!$A$2:$B$2107,2,1)</f>
        <v>N</v>
      </c>
      <c r="I1285" s="2" t="str">
        <f>VLOOKUP(A1285,Holidays!$A$2:$C$2107,3,1)</f>
        <v>N</v>
      </c>
    </row>
    <row r="1286" spans="1:9" x14ac:dyDescent="0.45">
      <c r="A1286" s="1">
        <v>43289</v>
      </c>
      <c r="B1286">
        <v>114562.215</v>
      </c>
      <c r="C1286">
        <v>47.891623060000001</v>
      </c>
      <c r="D1286" s="2">
        <v>9.3000000000000007</v>
      </c>
      <c r="E1286" s="2">
        <v>13.9</v>
      </c>
      <c r="F1286" s="2">
        <v>6.2</v>
      </c>
      <c r="G1286" s="2">
        <v>0.8</v>
      </c>
      <c r="H1286" s="2" t="str">
        <f>VLOOKUP(A1286,Holidays!$A$2:$B$2107,2,1)</f>
        <v>N</v>
      </c>
      <c r="I1286" s="2" t="str">
        <f>VLOOKUP(A1286,Holidays!$A$2:$C$2107,3,1)</f>
        <v>N</v>
      </c>
    </row>
    <row r="1287" spans="1:9" x14ac:dyDescent="0.45">
      <c r="A1287" s="1">
        <v>43290</v>
      </c>
      <c r="B1287">
        <v>133874.47500000001</v>
      </c>
      <c r="C1287">
        <v>80.825556750000004</v>
      </c>
      <c r="D1287" s="2">
        <v>10.1</v>
      </c>
      <c r="E1287" s="2">
        <v>13.8</v>
      </c>
      <c r="F1287" s="2">
        <v>8.1</v>
      </c>
      <c r="G1287" s="2">
        <v>1.2</v>
      </c>
      <c r="H1287" s="2" t="str">
        <f>VLOOKUP(A1287,Holidays!$A$2:$B$2107,2,1)</f>
        <v>N</v>
      </c>
      <c r="I1287" s="2" t="str">
        <f>VLOOKUP(A1287,Holidays!$A$2:$C$2107,3,1)</f>
        <v>N</v>
      </c>
    </row>
    <row r="1288" spans="1:9" x14ac:dyDescent="0.45">
      <c r="A1288" s="1">
        <v>43291</v>
      </c>
      <c r="B1288">
        <v>140342.995</v>
      </c>
      <c r="C1288">
        <v>94.623885849999994</v>
      </c>
      <c r="D1288" s="2">
        <v>9.3000000000000007</v>
      </c>
      <c r="E1288" s="2">
        <v>11.5</v>
      </c>
      <c r="F1288" s="2">
        <v>5.4</v>
      </c>
      <c r="G1288" s="2">
        <v>0</v>
      </c>
      <c r="H1288" s="2" t="str">
        <f>VLOOKUP(A1288,Holidays!$A$2:$B$2107,2,1)</f>
        <v>N</v>
      </c>
      <c r="I1288" s="2" t="str">
        <f>VLOOKUP(A1288,Holidays!$A$2:$C$2107,3,1)</f>
        <v>N</v>
      </c>
    </row>
    <row r="1289" spans="1:9" x14ac:dyDescent="0.45">
      <c r="A1289" s="1">
        <v>43292</v>
      </c>
      <c r="B1289">
        <v>143461.125</v>
      </c>
      <c r="C1289">
        <v>81.952519140000007</v>
      </c>
      <c r="D1289" s="2">
        <v>6.6</v>
      </c>
      <c r="E1289" s="2">
        <v>11.6</v>
      </c>
      <c r="F1289" s="2">
        <v>6</v>
      </c>
      <c r="G1289" s="2">
        <v>0</v>
      </c>
      <c r="H1289" s="2" t="str">
        <f>VLOOKUP(A1289,Holidays!$A$2:$B$2107,2,1)</f>
        <v>N</v>
      </c>
      <c r="I1289" s="2" t="str">
        <f>VLOOKUP(A1289,Holidays!$A$2:$C$2107,3,1)</f>
        <v>N</v>
      </c>
    </row>
    <row r="1290" spans="1:9" x14ac:dyDescent="0.45">
      <c r="A1290" s="1">
        <v>43293</v>
      </c>
      <c r="B1290">
        <v>145767.1</v>
      </c>
      <c r="C1290">
        <v>111.82051679999999</v>
      </c>
      <c r="D1290" s="2">
        <v>4.3</v>
      </c>
      <c r="E1290" s="2">
        <v>11.3</v>
      </c>
      <c r="F1290" s="2">
        <v>7.5</v>
      </c>
      <c r="G1290" s="2">
        <v>0</v>
      </c>
      <c r="H1290" s="2" t="str">
        <f>VLOOKUP(A1290,Holidays!$A$2:$B$2107,2,1)</f>
        <v>N</v>
      </c>
      <c r="I1290" s="2" t="str">
        <f>VLOOKUP(A1290,Holidays!$A$2:$C$2107,3,1)</f>
        <v>N</v>
      </c>
    </row>
    <row r="1291" spans="1:9" x14ac:dyDescent="0.45">
      <c r="A1291" s="1">
        <v>43294</v>
      </c>
      <c r="B1291">
        <v>140542.95000000001</v>
      </c>
      <c r="C1291">
        <v>104.6546578</v>
      </c>
      <c r="D1291" s="2">
        <v>5.8</v>
      </c>
      <c r="E1291" s="2">
        <v>13.9</v>
      </c>
      <c r="F1291" s="2">
        <v>9.3000000000000007</v>
      </c>
      <c r="G1291" s="2">
        <v>0.2</v>
      </c>
      <c r="H1291" s="2" t="str">
        <f>VLOOKUP(A1291,Holidays!$A$2:$B$2107,2,1)</f>
        <v>N</v>
      </c>
      <c r="I1291" s="2" t="str">
        <f>VLOOKUP(A1291,Holidays!$A$2:$C$2107,3,1)</f>
        <v>N</v>
      </c>
    </row>
    <row r="1292" spans="1:9" x14ac:dyDescent="0.45">
      <c r="A1292" s="1">
        <v>43295</v>
      </c>
      <c r="B1292">
        <v>124491.53</v>
      </c>
      <c r="C1292">
        <v>85.800950819999997</v>
      </c>
      <c r="D1292" s="2">
        <v>4.4000000000000004</v>
      </c>
      <c r="E1292" s="2">
        <v>15.5</v>
      </c>
      <c r="F1292" s="2">
        <v>10</v>
      </c>
      <c r="G1292" s="2">
        <v>0</v>
      </c>
      <c r="H1292" s="2" t="str">
        <f>VLOOKUP(A1292,Holidays!$A$2:$B$2107,2,1)</f>
        <v>N</v>
      </c>
      <c r="I1292" s="2" t="str">
        <f>VLOOKUP(A1292,Holidays!$A$2:$C$2107,3,1)</f>
        <v>N</v>
      </c>
    </row>
    <row r="1293" spans="1:9" x14ac:dyDescent="0.45">
      <c r="A1293" s="1">
        <v>43296</v>
      </c>
      <c r="B1293">
        <v>119464.315</v>
      </c>
      <c r="C1293">
        <v>67.790909940000006</v>
      </c>
      <c r="D1293" s="2">
        <v>6</v>
      </c>
      <c r="E1293" s="2">
        <v>13.8</v>
      </c>
      <c r="F1293" s="2">
        <v>9.8000000000000007</v>
      </c>
      <c r="G1293" s="2">
        <v>0</v>
      </c>
      <c r="H1293" s="2" t="str">
        <f>VLOOKUP(A1293,Holidays!$A$2:$B$2107,2,1)</f>
        <v>N</v>
      </c>
      <c r="I1293" s="2" t="str">
        <f>VLOOKUP(A1293,Holidays!$A$2:$C$2107,3,1)</f>
        <v>N</v>
      </c>
    </row>
    <row r="1294" spans="1:9" x14ac:dyDescent="0.45">
      <c r="A1294" s="1">
        <v>43297</v>
      </c>
      <c r="B1294">
        <v>137446.75</v>
      </c>
      <c r="C1294">
        <v>87.634657079999997</v>
      </c>
      <c r="D1294" s="2">
        <v>7.9</v>
      </c>
      <c r="E1294" s="2">
        <v>12.6</v>
      </c>
      <c r="F1294" s="2">
        <v>4.5</v>
      </c>
      <c r="G1294" s="2">
        <v>0</v>
      </c>
      <c r="H1294" s="2" t="str">
        <f>VLOOKUP(A1294,Holidays!$A$2:$B$2107,2,1)</f>
        <v>N</v>
      </c>
      <c r="I1294" s="2" t="str">
        <f>VLOOKUP(A1294,Holidays!$A$2:$C$2107,3,1)</f>
        <v>N</v>
      </c>
    </row>
    <row r="1295" spans="1:9" x14ac:dyDescent="0.45">
      <c r="A1295" s="1">
        <v>43298</v>
      </c>
      <c r="B1295">
        <v>131367.09</v>
      </c>
      <c r="C1295">
        <v>71.116373879999998</v>
      </c>
      <c r="D1295" s="2">
        <v>9.1</v>
      </c>
      <c r="E1295" s="2">
        <v>17.5</v>
      </c>
      <c r="F1295" s="2">
        <v>9.1999999999999993</v>
      </c>
      <c r="G1295" s="2">
        <v>0</v>
      </c>
      <c r="H1295" s="2" t="str">
        <f>VLOOKUP(A1295,Holidays!$A$2:$B$2107,2,1)</f>
        <v>Y</v>
      </c>
      <c r="I1295" s="2" t="str">
        <f>VLOOKUP(A1295,Holidays!$A$2:$C$2107,3,1)</f>
        <v>N</v>
      </c>
    </row>
    <row r="1296" spans="1:9" x14ac:dyDescent="0.45">
      <c r="A1296" s="1">
        <v>43299</v>
      </c>
      <c r="B1296">
        <v>132856.72</v>
      </c>
      <c r="C1296">
        <v>72.337153369999996</v>
      </c>
      <c r="D1296" s="2">
        <v>6.2</v>
      </c>
      <c r="E1296" s="2">
        <v>15.2</v>
      </c>
      <c r="F1296" s="2">
        <v>10.3</v>
      </c>
      <c r="G1296" s="2">
        <v>1.2</v>
      </c>
      <c r="H1296" s="2" t="str">
        <f>VLOOKUP(A1296,Holidays!$A$2:$B$2107,2,1)</f>
        <v>Y</v>
      </c>
      <c r="I1296" s="2" t="str">
        <f>VLOOKUP(A1296,Holidays!$A$2:$C$2107,3,1)</f>
        <v>N</v>
      </c>
    </row>
    <row r="1297" spans="1:9" x14ac:dyDescent="0.45">
      <c r="A1297" s="1">
        <v>43300</v>
      </c>
      <c r="B1297">
        <v>133778.44500000001</v>
      </c>
      <c r="C1297">
        <v>83.930959619999996</v>
      </c>
      <c r="D1297" s="2">
        <v>8.6999999999999993</v>
      </c>
      <c r="E1297" s="2">
        <v>17.600000000000001</v>
      </c>
      <c r="F1297" s="2">
        <v>8.5</v>
      </c>
      <c r="G1297" s="2">
        <v>0</v>
      </c>
      <c r="H1297" s="2" t="str">
        <f>VLOOKUP(A1297,Holidays!$A$2:$B$2107,2,1)</f>
        <v>Y</v>
      </c>
      <c r="I1297" s="2" t="str">
        <f>VLOOKUP(A1297,Holidays!$A$2:$C$2107,3,1)</f>
        <v>N</v>
      </c>
    </row>
    <row r="1298" spans="1:9" x14ac:dyDescent="0.45">
      <c r="A1298" s="1">
        <v>43301</v>
      </c>
      <c r="B1298">
        <v>135728.405</v>
      </c>
      <c r="C1298">
        <v>88.908711729999993</v>
      </c>
      <c r="D1298" s="2">
        <v>7.2</v>
      </c>
      <c r="E1298" s="2">
        <v>12.1</v>
      </c>
      <c r="F1298" s="2">
        <v>7.2</v>
      </c>
      <c r="G1298" s="2">
        <v>4.4000000000000004</v>
      </c>
      <c r="H1298" s="2" t="str">
        <f>VLOOKUP(A1298,Holidays!$A$2:$B$2107,2,1)</f>
        <v>Y</v>
      </c>
      <c r="I1298" s="2" t="str">
        <f>VLOOKUP(A1298,Holidays!$A$2:$C$2107,3,1)</f>
        <v>N</v>
      </c>
    </row>
    <row r="1299" spans="1:9" x14ac:dyDescent="0.45">
      <c r="A1299" s="1">
        <v>43302</v>
      </c>
      <c r="B1299">
        <v>125928.62</v>
      </c>
      <c r="C1299">
        <v>91.699455979999996</v>
      </c>
      <c r="D1299" s="2">
        <v>6.7</v>
      </c>
      <c r="E1299" s="2">
        <v>14</v>
      </c>
      <c r="F1299" s="2">
        <v>7.2</v>
      </c>
      <c r="G1299" s="2">
        <v>0.2</v>
      </c>
      <c r="H1299" s="2" t="str">
        <f>VLOOKUP(A1299,Holidays!$A$2:$B$2107,2,1)</f>
        <v>Y</v>
      </c>
      <c r="I1299" s="2" t="str">
        <f>VLOOKUP(A1299,Holidays!$A$2:$C$2107,3,1)</f>
        <v>N</v>
      </c>
    </row>
    <row r="1300" spans="1:9" x14ac:dyDescent="0.45">
      <c r="A1300" s="1">
        <v>43303</v>
      </c>
      <c r="B1300">
        <v>114186.8</v>
      </c>
      <c r="C1300">
        <v>73.13566324</v>
      </c>
      <c r="D1300" s="2">
        <v>8</v>
      </c>
      <c r="E1300" s="2">
        <v>14.8</v>
      </c>
      <c r="F1300" s="2">
        <v>10.5</v>
      </c>
      <c r="G1300" s="2">
        <v>0</v>
      </c>
      <c r="H1300" s="2" t="str">
        <f>VLOOKUP(A1300,Holidays!$A$2:$B$2107,2,1)</f>
        <v>Y</v>
      </c>
      <c r="I1300" s="2" t="str">
        <f>VLOOKUP(A1300,Holidays!$A$2:$C$2107,3,1)</f>
        <v>N</v>
      </c>
    </row>
    <row r="1301" spans="1:9" x14ac:dyDescent="0.45">
      <c r="A1301" s="1">
        <v>43304</v>
      </c>
      <c r="B1301">
        <v>134664.655</v>
      </c>
      <c r="C1301">
        <v>80.355436100000006</v>
      </c>
      <c r="D1301" s="2">
        <v>8.4</v>
      </c>
      <c r="E1301" s="2">
        <v>15.4</v>
      </c>
      <c r="F1301" s="2">
        <v>6.9</v>
      </c>
      <c r="G1301" s="2">
        <v>0.2</v>
      </c>
      <c r="H1301" s="2" t="str">
        <f>VLOOKUP(A1301,Holidays!$A$2:$B$2107,2,1)</f>
        <v>Y</v>
      </c>
      <c r="I1301" s="2" t="str">
        <f>VLOOKUP(A1301,Holidays!$A$2:$C$2107,3,1)</f>
        <v>N</v>
      </c>
    </row>
    <row r="1302" spans="1:9" x14ac:dyDescent="0.45">
      <c r="A1302" s="1">
        <v>43305</v>
      </c>
      <c r="B1302">
        <v>132967.19</v>
      </c>
      <c r="C1302">
        <v>71.115294320000004</v>
      </c>
      <c r="D1302" s="2">
        <v>8.6</v>
      </c>
      <c r="E1302" s="2">
        <v>15.6</v>
      </c>
      <c r="F1302" s="2">
        <v>7.1</v>
      </c>
      <c r="G1302" s="2">
        <v>0.6</v>
      </c>
      <c r="H1302" s="2" t="str">
        <f>VLOOKUP(A1302,Holidays!$A$2:$B$2107,2,1)</f>
        <v>Y</v>
      </c>
      <c r="I1302" s="2" t="str">
        <f>VLOOKUP(A1302,Holidays!$A$2:$C$2107,3,1)</f>
        <v>N</v>
      </c>
    </row>
    <row r="1303" spans="1:9" x14ac:dyDescent="0.45">
      <c r="A1303" s="1">
        <v>43306</v>
      </c>
      <c r="B1303">
        <v>135308.29500000001</v>
      </c>
      <c r="C1303">
        <v>76.472503250000003</v>
      </c>
      <c r="D1303" s="2">
        <v>8.3000000000000007</v>
      </c>
      <c r="E1303" s="2">
        <v>15.7</v>
      </c>
      <c r="F1303" s="2">
        <v>9.3000000000000007</v>
      </c>
      <c r="G1303" s="2">
        <v>6.2</v>
      </c>
      <c r="H1303" s="2" t="str">
        <f>VLOOKUP(A1303,Holidays!$A$2:$B$2107,2,1)</f>
        <v>Y</v>
      </c>
      <c r="I1303" s="2" t="str">
        <f>VLOOKUP(A1303,Holidays!$A$2:$C$2107,3,1)</f>
        <v>N</v>
      </c>
    </row>
    <row r="1304" spans="1:9" x14ac:dyDescent="0.45">
      <c r="A1304" s="1">
        <v>43307</v>
      </c>
      <c r="B1304">
        <v>137634.125</v>
      </c>
      <c r="C1304">
        <v>86.406594089999999</v>
      </c>
      <c r="D1304" s="2">
        <v>7.7</v>
      </c>
      <c r="E1304" s="2">
        <v>15.1</v>
      </c>
      <c r="F1304" s="2">
        <v>8.9</v>
      </c>
      <c r="G1304" s="2">
        <v>0</v>
      </c>
      <c r="H1304" s="2" t="str">
        <f>VLOOKUP(A1304,Holidays!$A$2:$B$2107,2,1)</f>
        <v>Y</v>
      </c>
      <c r="I1304" s="2" t="str">
        <f>VLOOKUP(A1304,Holidays!$A$2:$C$2107,3,1)</f>
        <v>N</v>
      </c>
    </row>
    <row r="1305" spans="1:9" x14ac:dyDescent="0.45">
      <c r="A1305" s="1">
        <v>43308</v>
      </c>
      <c r="B1305">
        <v>130119.5</v>
      </c>
      <c r="C1305">
        <v>71.869816619999995</v>
      </c>
      <c r="D1305" s="2">
        <v>9.1999999999999993</v>
      </c>
      <c r="E1305" s="2">
        <v>19.5</v>
      </c>
      <c r="F1305" s="2">
        <v>10.3</v>
      </c>
      <c r="G1305" s="2">
        <v>0</v>
      </c>
      <c r="H1305" s="2" t="str">
        <f>VLOOKUP(A1305,Holidays!$A$2:$B$2107,2,1)</f>
        <v>Y</v>
      </c>
      <c r="I1305" s="2" t="str">
        <f>VLOOKUP(A1305,Holidays!$A$2:$C$2107,3,1)</f>
        <v>N</v>
      </c>
    </row>
    <row r="1306" spans="1:9" x14ac:dyDescent="0.45">
      <c r="A1306" s="1">
        <v>43309</v>
      </c>
      <c r="B1306">
        <v>116942.94</v>
      </c>
      <c r="C1306">
        <v>57.98204775</v>
      </c>
      <c r="D1306" s="2">
        <v>8.4</v>
      </c>
      <c r="E1306" s="2">
        <v>18.600000000000001</v>
      </c>
      <c r="F1306" s="2">
        <v>9.3000000000000007</v>
      </c>
      <c r="G1306" s="2">
        <v>0</v>
      </c>
      <c r="H1306" s="2" t="str">
        <f>VLOOKUP(A1306,Holidays!$A$2:$B$2107,2,1)</f>
        <v>Y</v>
      </c>
      <c r="I1306" s="2" t="str">
        <f>VLOOKUP(A1306,Holidays!$A$2:$C$2107,3,1)</f>
        <v>N</v>
      </c>
    </row>
    <row r="1307" spans="1:9" x14ac:dyDescent="0.45">
      <c r="A1307" s="1">
        <v>43310</v>
      </c>
      <c r="B1307">
        <v>111555</v>
      </c>
      <c r="C1307">
        <v>29.414282669999999</v>
      </c>
      <c r="D1307" s="2">
        <v>10.8</v>
      </c>
      <c r="E1307" s="2">
        <v>14.6</v>
      </c>
      <c r="F1307" s="2">
        <v>10</v>
      </c>
      <c r="G1307" s="2">
        <v>2</v>
      </c>
      <c r="H1307" s="2" t="str">
        <f>VLOOKUP(A1307,Holidays!$A$2:$B$2107,2,1)</f>
        <v>Y</v>
      </c>
      <c r="I1307" s="2" t="str">
        <f>VLOOKUP(A1307,Holidays!$A$2:$C$2107,3,1)</f>
        <v>N</v>
      </c>
    </row>
    <row r="1308" spans="1:9" x14ac:dyDescent="0.45">
      <c r="A1308" s="1">
        <v>43311</v>
      </c>
      <c r="B1308">
        <v>135422.13500000001</v>
      </c>
      <c r="C1308">
        <v>60.040308160000002</v>
      </c>
      <c r="D1308" s="2">
        <v>8.1999999999999993</v>
      </c>
      <c r="E1308" s="2">
        <v>12.6</v>
      </c>
      <c r="F1308" s="2">
        <v>7.3</v>
      </c>
      <c r="G1308" s="2">
        <v>0.4</v>
      </c>
      <c r="H1308" s="2" t="str">
        <f>VLOOKUP(A1308,Holidays!$A$2:$B$2107,2,1)</f>
        <v>Y</v>
      </c>
      <c r="I1308" s="2" t="str">
        <f>VLOOKUP(A1308,Holidays!$A$2:$C$2107,3,1)</f>
        <v>N</v>
      </c>
    </row>
    <row r="1309" spans="1:9" x14ac:dyDescent="0.45">
      <c r="A1309" s="1">
        <v>43312</v>
      </c>
      <c r="B1309">
        <v>129519.995</v>
      </c>
      <c r="C1309">
        <v>60.905552239999999</v>
      </c>
      <c r="D1309" s="2">
        <v>8.3000000000000007</v>
      </c>
      <c r="E1309" s="2">
        <v>16.2</v>
      </c>
      <c r="F1309" s="2">
        <v>10.199999999999999</v>
      </c>
      <c r="G1309" s="2">
        <v>0</v>
      </c>
      <c r="H1309" s="2" t="str">
        <f>VLOOKUP(A1309,Holidays!$A$2:$B$2107,2,1)</f>
        <v>Y</v>
      </c>
      <c r="I1309" s="2" t="str">
        <f>VLOOKUP(A1309,Holidays!$A$2:$C$2107,3,1)</f>
        <v>N</v>
      </c>
    </row>
    <row r="1310" spans="1:9" x14ac:dyDescent="0.45">
      <c r="A1310" s="1">
        <v>43313</v>
      </c>
      <c r="B1310">
        <v>134004.96</v>
      </c>
      <c r="C1310">
        <v>78.761641850000004</v>
      </c>
      <c r="D1310" s="2">
        <v>9.9</v>
      </c>
      <c r="E1310" s="2">
        <v>14.8</v>
      </c>
      <c r="F1310" s="2">
        <v>11.4</v>
      </c>
      <c r="G1310" s="2">
        <v>1.6</v>
      </c>
      <c r="H1310" s="2" t="str">
        <f>VLOOKUP(A1310,Holidays!$A$2:$B$2107,2,1)</f>
        <v>Y</v>
      </c>
      <c r="I1310" s="2" t="str">
        <f>VLOOKUP(A1310,Holidays!$A$2:$C$2107,3,1)</f>
        <v>N</v>
      </c>
    </row>
    <row r="1311" spans="1:9" x14ac:dyDescent="0.45">
      <c r="A1311" s="1">
        <v>43314</v>
      </c>
      <c r="B1311">
        <v>129025</v>
      </c>
      <c r="C1311">
        <v>68.077372269999998</v>
      </c>
      <c r="D1311" s="2">
        <v>4.9000000000000004</v>
      </c>
      <c r="E1311" s="2">
        <v>16.100000000000001</v>
      </c>
      <c r="F1311" s="2">
        <v>11.7</v>
      </c>
      <c r="G1311" s="2">
        <v>0</v>
      </c>
      <c r="H1311" s="2" t="str">
        <f>VLOOKUP(A1311,Holidays!$A$2:$B$2107,2,1)</f>
        <v>Y</v>
      </c>
      <c r="I1311" s="2" t="str">
        <f>VLOOKUP(A1311,Holidays!$A$2:$C$2107,3,1)</f>
        <v>N</v>
      </c>
    </row>
    <row r="1312" spans="1:9" x14ac:dyDescent="0.45">
      <c r="A1312" s="1">
        <v>43315</v>
      </c>
      <c r="B1312">
        <v>129740.315</v>
      </c>
      <c r="C1312">
        <v>79.407081439999999</v>
      </c>
      <c r="D1312" s="2">
        <v>7.8</v>
      </c>
      <c r="E1312" s="2">
        <v>18.399999999999999</v>
      </c>
      <c r="F1312" s="2">
        <v>6.3</v>
      </c>
      <c r="G1312" s="2">
        <v>0</v>
      </c>
      <c r="H1312" s="2" t="str">
        <f>VLOOKUP(A1312,Holidays!$A$2:$B$2107,2,1)</f>
        <v>Y</v>
      </c>
      <c r="I1312" s="2" t="str">
        <f>VLOOKUP(A1312,Holidays!$A$2:$C$2107,3,1)</f>
        <v>N</v>
      </c>
    </row>
    <row r="1313" spans="1:9" x14ac:dyDescent="0.45">
      <c r="A1313" s="1">
        <v>43316</v>
      </c>
      <c r="B1313">
        <v>116238.175</v>
      </c>
      <c r="C1313">
        <v>44.889044869999999</v>
      </c>
      <c r="D1313" s="2">
        <v>8</v>
      </c>
      <c r="E1313" s="2">
        <v>15.3</v>
      </c>
      <c r="F1313" s="2">
        <v>8.6999999999999993</v>
      </c>
      <c r="G1313" s="2">
        <v>1.6</v>
      </c>
      <c r="H1313" s="2" t="str">
        <f>VLOOKUP(A1313,Holidays!$A$2:$B$2107,2,1)</f>
        <v>Y</v>
      </c>
      <c r="I1313" s="2" t="str">
        <f>VLOOKUP(A1313,Holidays!$A$2:$C$2107,3,1)</f>
        <v>N</v>
      </c>
    </row>
    <row r="1314" spans="1:9" x14ac:dyDescent="0.45">
      <c r="A1314" s="1">
        <v>43317</v>
      </c>
      <c r="B1314">
        <v>104912.38</v>
      </c>
      <c r="C1314">
        <v>37.44398417</v>
      </c>
      <c r="D1314" s="2">
        <v>10.6</v>
      </c>
      <c r="E1314" s="2">
        <v>17.600000000000001</v>
      </c>
      <c r="F1314" s="2">
        <v>11.2</v>
      </c>
      <c r="G1314" s="2">
        <v>0</v>
      </c>
      <c r="H1314" s="2" t="str">
        <f>VLOOKUP(A1314,Holidays!$A$2:$B$2107,2,1)</f>
        <v>Y</v>
      </c>
      <c r="I1314" s="2" t="str">
        <f>VLOOKUP(A1314,Holidays!$A$2:$C$2107,3,1)</f>
        <v>N</v>
      </c>
    </row>
    <row r="1315" spans="1:9" x14ac:dyDescent="0.45">
      <c r="A1315" s="1">
        <v>43318</v>
      </c>
      <c r="B1315">
        <v>127198.78</v>
      </c>
      <c r="C1315">
        <v>83.712090750000002</v>
      </c>
      <c r="D1315" s="2">
        <v>9.4</v>
      </c>
      <c r="E1315" s="2">
        <v>13.8</v>
      </c>
      <c r="F1315" s="2">
        <v>8.5</v>
      </c>
      <c r="G1315" s="2">
        <v>0</v>
      </c>
      <c r="H1315" s="2" t="str">
        <f>VLOOKUP(A1315,Holidays!$A$2:$B$2107,2,1)</f>
        <v>Y</v>
      </c>
      <c r="I1315" s="2" t="str">
        <f>VLOOKUP(A1315,Holidays!$A$2:$C$2107,3,1)</f>
        <v>N</v>
      </c>
    </row>
    <row r="1316" spans="1:9" x14ac:dyDescent="0.45">
      <c r="A1316" s="1">
        <v>43319</v>
      </c>
      <c r="B1316">
        <v>131851.01500000001</v>
      </c>
      <c r="C1316">
        <v>75.541241439999993</v>
      </c>
      <c r="D1316" s="2">
        <v>7.3</v>
      </c>
      <c r="E1316" s="2">
        <v>14.8</v>
      </c>
      <c r="F1316" s="2">
        <v>9.6</v>
      </c>
      <c r="G1316" s="2">
        <v>0</v>
      </c>
      <c r="H1316" s="2" t="str">
        <f>VLOOKUP(A1316,Holidays!$A$2:$B$2107,2,1)</f>
        <v>Y</v>
      </c>
      <c r="I1316" s="2" t="str">
        <f>VLOOKUP(A1316,Holidays!$A$2:$C$2107,3,1)</f>
        <v>N</v>
      </c>
    </row>
    <row r="1317" spans="1:9" x14ac:dyDescent="0.45">
      <c r="A1317" s="1">
        <v>43320</v>
      </c>
      <c r="B1317">
        <v>131939.5</v>
      </c>
      <c r="C1317">
        <v>89.686836400000004</v>
      </c>
      <c r="D1317" s="2">
        <v>9.6</v>
      </c>
      <c r="E1317" s="2">
        <v>16</v>
      </c>
      <c r="F1317" s="2">
        <v>7.2</v>
      </c>
      <c r="G1317" s="2">
        <v>1</v>
      </c>
      <c r="H1317" s="2" t="str">
        <f>VLOOKUP(A1317,Holidays!$A$2:$B$2107,2,1)</f>
        <v>Y</v>
      </c>
      <c r="I1317" s="2" t="str">
        <f>VLOOKUP(A1317,Holidays!$A$2:$C$2107,3,1)</f>
        <v>N</v>
      </c>
    </row>
    <row r="1318" spans="1:9" x14ac:dyDescent="0.45">
      <c r="A1318" s="1">
        <v>43321</v>
      </c>
      <c r="B1318">
        <v>135670.99</v>
      </c>
      <c r="C1318">
        <v>82.760846979999997</v>
      </c>
      <c r="D1318" s="2">
        <v>5.6</v>
      </c>
      <c r="E1318" s="2">
        <v>15.4</v>
      </c>
      <c r="F1318" s="2">
        <v>8.6</v>
      </c>
      <c r="G1318" s="2">
        <v>2.2000000000000002</v>
      </c>
      <c r="H1318" s="2" t="str">
        <f>VLOOKUP(A1318,Holidays!$A$2:$B$2107,2,1)</f>
        <v>Y</v>
      </c>
      <c r="I1318" s="2" t="str">
        <f>VLOOKUP(A1318,Holidays!$A$2:$C$2107,3,1)</f>
        <v>N</v>
      </c>
    </row>
    <row r="1319" spans="1:9" x14ac:dyDescent="0.45">
      <c r="A1319" s="1">
        <v>43322</v>
      </c>
      <c r="B1319">
        <v>121875.355</v>
      </c>
      <c r="C1319">
        <v>58.050358019999997</v>
      </c>
      <c r="D1319" s="2">
        <v>9.4</v>
      </c>
      <c r="E1319" s="2">
        <v>20</v>
      </c>
      <c r="F1319" s="2">
        <v>11.8</v>
      </c>
      <c r="G1319" s="2">
        <v>0</v>
      </c>
      <c r="H1319" s="2" t="str">
        <f>VLOOKUP(A1319,Holidays!$A$2:$B$2107,2,1)</f>
        <v>Y</v>
      </c>
      <c r="I1319" s="2" t="str">
        <f>VLOOKUP(A1319,Holidays!$A$2:$C$2107,3,1)</f>
        <v>N</v>
      </c>
    </row>
    <row r="1320" spans="1:9" x14ac:dyDescent="0.45">
      <c r="A1320" s="1">
        <v>43323</v>
      </c>
      <c r="B1320">
        <v>119988.735</v>
      </c>
      <c r="C1320">
        <v>64.602342530000001</v>
      </c>
      <c r="D1320" s="2">
        <v>8.1</v>
      </c>
      <c r="E1320" s="2">
        <v>14.7</v>
      </c>
      <c r="F1320" s="2">
        <v>7.4</v>
      </c>
      <c r="G1320" s="2">
        <v>10.4</v>
      </c>
      <c r="H1320" s="2" t="str">
        <f>VLOOKUP(A1320,Holidays!$A$2:$B$2107,2,1)</f>
        <v>Y</v>
      </c>
      <c r="I1320" s="2" t="str">
        <f>VLOOKUP(A1320,Holidays!$A$2:$C$2107,3,1)</f>
        <v>N</v>
      </c>
    </row>
    <row r="1321" spans="1:9" x14ac:dyDescent="0.45">
      <c r="A1321" s="1">
        <v>43324</v>
      </c>
      <c r="B1321">
        <v>115231.85</v>
      </c>
      <c r="C1321">
        <v>48.788940629999999</v>
      </c>
      <c r="D1321" s="2">
        <v>5.4</v>
      </c>
      <c r="E1321" s="2">
        <v>14.8</v>
      </c>
      <c r="F1321" s="2">
        <v>10.4</v>
      </c>
      <c r="G1321" s="2">
        <v>4.5999999999999996</v>
      </c>
      <c r="H1321" s="2" t="str">
        <f>VLOOKUP(A1321,Holidays!$A$2:$B$2107,2,1)</f>
        <v>Y</v>
      </c>
      <c r="I1321" s="2" t="str">
        <f>VLOOKUP(A1321,Holidays!$A$2:$C$2107,3,1)</f>
        <v>N</v>
      </c>
    </row>
    <row r="1322" spans="1:9" x14ac:dyDescent="0.45">
      <c r="A1322" s="1">
        <v>43325</v>
      </c>
      <c r="B1322">
        <v>127541.57</v>
      </c>
      <c r="C1322">
        <v>79.759066959999998</v>
      </c>
      <c r="D1322" s="2">
        <v>7.9</v>
      </c>
      <c r="E1322" s="2">
        <v>14.9</v>
      </c>
      <c r="F1322" s="2">
        <v>8.6</v>
      </c>
      <c r="G1322" s="2">
        <v>0</v>
      </c>
      <c r="H1322" s="2" t="str">
        <f>VLOOKUP(A1322,Holidays!$A$2:$B$2107,2,1)</f>
        <v>Y</v>
      </c>
      <c r="I1322" s="2" t="str">
        <f>VLOOKUP(A1322,Holidays!$A$2:$C$2107,3,1)</f>
        <v>N</v>
      </c>
    </row>
    <row r="1323" spans="1:9" x14ac:dyDescent="0.45">
      <c r="A1323" s="1">
        <v>43326</v>
      </c>
      <c r="B1323">
        <v>121073.45</v>
      </c>
      <c r="C1323">
        <v>69.127751180000004</v>
      </c>
      <c r="D1323" s="2">
        <v>9.4</v>
      </c>
      <c r="E1323" s="2">
        <v>16.7</v>
      </c>
      <c r="F1323" s="2">
        <v>13.2</v>
      </c>
      <c r="G1323" s="2">
        <v>0.2</v>
      </c>
      <c r="H1323" s="2" t="str">
        <f>VLOOKUP(A1323,Holidays!$A$2:$B$2107,2,1)</f>
        <v>Y</v>
      </c>
      <c r="I1323" s="2" t="str">
        <f>VLOOKUP(A1323,Holidays!$A$2:$C$2107,3,1)</f>
        <v>N</v>
      </c>
    </row>
    <row r="1324" spans="1:9" x14ac:dyDescent="0.45">
      <c r="A1324" s="1">
        <v>43327</v>
      </c>
      <c r="B1324">
        <v>122602.11500000001</v>
      </c>
      <c r="C1324">
        <v>67.796604759999994</v>
      </c>
      <c r="D1324" s="2">
        <v>11.5</v>
      </c>
      <c r="E1324" s="2">
        <v>18.399999999999999</v>
      </c>
      <c r="F1324" s="2">
        <v>10.1</v>
      </c>
      <c r="G1324" s="2">
        <v>0</v>
      </c>
      <c r="H1324" s="2" t="str">
        <f>VLOOKUP(A1324,Holidays!$A$2:$B$2107,2,1)</f>
        <v>Y</v>
      </c>
      <c r="I1324" s="2" t="str">
        <f>VLOOKUP(A1324,Holidays!$A$2:$C$2107,3,1)</f>
        <v>N</v>
      </c>
    </row>
    <row r="1325" spans="1:9" x14ac:dyDescent="0.45">
      <c r="A1325" s="1">
        <v>43328</v>
      </c>
      <c r="B1325">
        <v>131137.065</v>
      </c>
      <c r="C1325">
        <v>95.267104889999999</v>
      </c>
      <c r="D1325" s="2">
        <v>8.6999999999999993</v>
      </c>
      <c r="E1325" s="2">
        <v>14.7</v>
      </c>
      <c r="F1325" s="2">
        <v>9.1999999999999993</v>
      </c>
      <c r="G1325" s="2">
        <v>0.2</v>
      </c>
      <c r="H1325" s="2" t="str">
        <f>VLOOKUP(A1325,Holidays!$A$2:$B$2107,2,1)</f>
        <v>Y</v>
      </c>
      <c r="I1325" s="2" t="str">
        <f>VLOOKUP(A1325,Holidays!$A$2:$C$2107,3,1)</f>
        <v>N</v>
      </c>
    </row>
    <row r="1326" spans="1:9" x14ac:dyDescent="0.45">
      <c r="A1326" s="1">
        <v>43329</v>
      </c>
      <c r="B1326">
        <v>125189.54</v>
      </c>
      <c r="C1326">
        <v>77.617767220000005</v>
      </c>
      <c r="D1326" s="2">
        <v>7.7</v>
      </c>
      <c r="E1326" s="2">
        <v>15.9</v>
      </c>
      <c r="F1326" s="2">
        <v>12.2</v>
      </c>
      <c r="G1326" s="2">
        <v>0</v>
      </c>
      <c r="H1326" s="2" t="str">
        <f>VLOOKUP(A1326,Holidays!$A$2:$B$2107,2,1)</f>
        <v>Y</v>
      </c>
      <c r="I1326" s="2" t="str">
        <f>VLOOKUP(A1326,Holidays!$A$2:$C$2107,3,1)</f>
        <v>N</v>
      </c>
    </row>
    <row r="1327" spans="1:9" x14ac:dyDescent="0.45">
      <c r="A1327" s="1">
        <v>43330</v>
      </c>
      <c r="B1327">
        <v>116571.26</v>
      </c>
      <c r="C1327">
        <v>38.301147139999998</v>
      </c>
      <c r="D1327" s="2">
        <v>8.9</v>
      </c>
      <c r="E1327" s="2">
        <v>13.8</v>
      </c>
      <c r="F1327" s="2">
        <v>10.4</v>
      </c>
      <c r="G1327" s="2">
        <v>2.2000000000000002</v>
      </c>
      <c r="H1327" s="2" t="str">
        <f>VLOOKUP(A1327,Holidays!$A$2:$B$2107,2,1)</f>
        <v>Y</v>
      </c>
      <c r="I1327" s="2" t="str">
        <f>VLOOKUP(A1327,Holidays!$A$2:$C$2107,3,1)</f>
        <v>N</v>
      </c>
    </row>
    <row r="1328" spans="1:9" x14ac:dyDescent="0.45">
      <c r="A1328" s="1">
        <v>43331</v>
      </c>
      <c r="B1328">
        <v>119707.93</v>
      </c>
      <c r="C1328">
        <v>50.446948470000002</v>
      </c>
      <c r="D1328" s="2">
        <v>6.7</v>
      </c>
      <c r="E1328" s="2">
        <v>11.9</v>
      </c>
      <c r="F1328" s="2">
        <v>9.3000000000000007</v>
      </c>
      <c r="G1328" s="2">
        <v>9.1999999999999993</v>
      </c>
      <c r="H1328" s="2" t="str">
        <f>VLOOKUP(A1328,Holidays!$A$2:$B$2107,2,1)</f>
        <v>Y</v>
      </c>
      <c r="I1328" s="2" t="str">
        <f>VLOOKUP(A1328,Holidays!$A$2:$C$2107,3,1)</f>
        <v>N</v>
      </c>
    </row>
    <row r="1329" spans="1:9" x14ac:dyDescent="0.45">
      <c r="A1329" s="1">
        <v>43332</v>
      </c>
      <c r="B1329">
        <v>138918.38500000001</v>
      </c>
      <c r="C1329">
        <v>102.3388107</v>
      </c>
      <c r="D1329" s="2">
        <v>5.5</v>
      </c>
      <c r="E1329" s="2">
        <v>12.4</v>
      </c>
      <c r="F1329" s="2">
        <v>6.5</v>
      </c>
      <c r="G1329" s="2">
        <v>2</v>
      </c>
      <c r="H1329" s="2" t="str">
        <f>VLOOKUP(A1329,Holidays!$A$2:$B$2107,2,1)</f>
        <v>Y</v>
      </c>
      <c r="I1329" s="2" t="str">
        <f>VLOOKUP(A1329,Holidays!$A$2:$C$2107,3,1)</f>
        <v>N</v>
      </c>
    </row>
    <row r="1330" spans="1:9" x14ac:dyDescent="0.45">
      <c r="A1330" s="1">
        <v>43333</v>
      </c>
      <c r="B1330">
        <v>138424.25</v>
      </c>
      <c r="C1330">
        <v>119.2284324</v>
      </c>
      <c r="D1330" s="2">
        <v>8.6</v>
      </c>
      <c r="E1330" s="2">
        <v>12.4</v>
      </c>
      <c r="F1330" s="2">
        <v>7.7</v>
      </c>
      <c r="G1330" s="2">
        <v>1.2</v>
      </c>
      <c r="H1330" s="2" t="str">
        <f>VLOOKUP(A1330,Holidays!$A$2:$B$2107,2,1)</f>
        <v>Y</v>
      </c>
      <c r="I1330" s="2" t="str">
        <f>VLOOKUP(A1330,Holidays!$A$2:$C$2107,3,1)</f>
        <v>N</v>
      </c>
    </row>
    <row r="1331" spans="1:9" x14ac:dyDescent="0.45">
      <c r="A1331" s="1">
        <v>43334</v>
      </c>
      <c r="B1331">
        <v>136240.845</v>
      </c>
      <c r="C1331">
        <v>104.8161592</v>
      </c>
      <c r="D1331" s="2">
        <v>8.6999999999999993</v>
      </c>
      <c r="E1331" s="2">
        <v>14</v>
      </c>
      <c r="F1331" s="2">
        <v>8.5</v>
      </c>
      <c r="G1331" s="2">
        <v>1</v>
      </c>
      <c r="H1331" s="2" t="str">
        <f>VLOOKUP(A1331,Holidays!$A$2:$B$2107,2,1)</f>
        <v>Y</v>
      </c>
      <c r="I1331" s="2" t="str">
        <f>VLOOKUP(A1331,Holidays!$A$2:$C$2107,3,1)</f>
        <v>N</v>
      </c>
    </row>
    <row r="1332" spans="1:9" x14ac:dyDescent="0.45">
      <c r="A1332" s="1">
        <v>43335</v>
      </c>
      <c r="B1332">
        <v>131956.72500000001</v>
      </c>
      <c r="C1332">
        <v>89.579370560000001</v>
      </c>
      <c r="D1332" s="2">
        <v>5.6</v>
      </c>
      <c r="E1332" s="2">
        <v>16</v>
      </c>
      <c r="F1332" s="2">
        <v>11.1</v>
      </c>
      <c r="G1332" s="2">
        <v>0</v>
      </c>
      <c r="H1332" s="2" t="str">
        <f>VLOOKUP(A1332,Holidays!$A$2:$B$2107,2,1)</f>
        <v>Y</v>
      </c>
      <c r="I1332" s="2" t="str">
        <f>VLOOKUP(A1332,Holidays!$A$2:$C$2107,3,1)</f>
        <v>N</v>
      </c>
    </row>
    <row r="1333" spans="1:9" x14ac:dyDescent="0.45">
      <c r="A1333" s="1">
        <v>43336</v>
      </c>
      <c r="B1333">
        <v>130210.94</v>
      </c>
      <c r="C1333">
        <v>97.467844349999993</v>
      </c>
      <c r="D1333" s="2">
        <v>4.8</v>
      </c>
      <c r="E1333" s="2">
        <v>15.4</v>
      </c>
      <c r="F1333" s="2">
        <v>14.7</v>
      </c>
      <c r="G1333" s="2">
        <v>0</v>
      </c>
      <c r="H1333" s="2" t="str">
        <f>VLOOKUP(A1333,Holidays!$A$2:$B$2107,2,1)</f>
        <v>Y</v>
      </c>
      <c r="I1333" s="2" t="str">
        <f>VLOOKUP(A1333,Holidays!$A$2:$C$2107,3,1)</f>
        <v>N</v>
      </c>
    </row>
    <row r="1334" spans="1:9" x14ac:dyDescent="0.45">
      <c r="A1334" s="1">
        <v>43337</v>
      </c>
      <c r="B1334">
        <v>116471.77499999999</v>
      </c>
      <c r="C1334">
        <v>118.4878363</v>
      </c>
      <c r="D1334" s="2">
        <v>3.9</v>
      </c>
      <c r="E1334" s="2">
        <v>15.2</v>
      </c>
      <c r="F1334" s="2">
        <v>14.9</v>
      </c>
      <c r="G1334" s="2">
        <v>0</v>
      </c>
      <c r="H1334" s="2" t="str">
        <f>VLOOKUP(A1334,Holidays!$A$2:$B$2107,2,1)</f>
        <v>Y</v>
      </c>
      <c r="I1334" s="2" t="str">
        <f>VLOOKUP(A1334,Holidays!$A$2:$C$2107,3,1)</f>
        <v>N</v>
      </c>
    </row>
    <row r="1335" spans="1:9" x14ac:dyDescent="0.45">
      <c r="A1335" s="1">
        <v>43338</v>
      </c>
      <c r="B1335">
        <v>111436.265</v>
      </c>
      <c r="C1335">
        <v>105.4622088</v>
      </c>
      <c r="D1335" s="2">
        <v>4.9000000000000004</v>
      </c>
      <c r="E1335" s="2">
        <v>14.7</v>
      </c>
      <c r="F1335" s="2">
        <v>12.3</v>
      </c>
      <c r="G1335" s="2">
        <v>0</v>
      </c>
      <c r="H1335" s="2" t="str">
        <f>VLOOKUP(A1335,Holidays!$A$2:$B$2107,2,1)</f>
        <v>Y</v>
      </c>
      <c r="I1335" s="2" t="str">
        <f>VLOOKUP(A1335,Holidays!$A$2:$C$2107,3,1)</f>
        <v>N</v>
      </c>
    </row>
    <row r="1336" spans="1:9" x14ac:dyDescent="0.45">
      <c r="A1336" s="1">
        <v>43339</v>
      </c>
      <c r="B1336">
        <v>131280.85</v>
      </c>
      <c r="C1336">
        <v>105.01180309999999</v>
      </c>
      <c r="D1336" s="2">
        <v>6.8</v>
      </c>
      <c r="E1336" s="2">
        <v>12.9</v>
      </c>
      <c r="F1336" s="2">
        <v>12.4</v>
      </c>
      <c r="G1336" s="2">
        <v>3.6</v>
      </c>
      <c r="H1336" s="2" t="str">
        <f>VLOOKUP(A1336,Holidays!$A$2:$B$2107,2,1)</f>
        <v>Y</v>
      </c>
      <c r="I1336" s="2" t="str">
        <f>VLOOKUP(A1336,Holidays!$A$2:$C$2107,3,1)</f>
        <v>N</v>
      </c>
    </row>
    <row r="1337" spans="1:9" x14ac:dyDescent="0.45">
      <c r="A1337" s="1">
        <v>43340</v>
      </c>
      <c r="B1337">
        <v>139563.095</v>
      </c>
      <c r="C1337">
        <v>119.82307369999999</v>
      </c>
      <c r="D1337" s="2">
        <v>1.9</v>
      </c>
      <c r="E1337" s="2">
        <v>11.2</v>
      </c>
      <c r="F1337" s="2">
        <v>11.7</v>
      </c>
      <c r="G1337" s="2">
        <v>0.2</v>
      </c>
      <c r="H1337" s="2" t="str">
        <f>VLOOKUP(A1337,Holidays!$A$2:$B$2107,2,1)</f>
        <v>Y</v>
      </c>
      <c r="I1337" s="2" t="str">
        <f>VLOOKUP(A1337,Holidays!$A$2:$C$2107,3,1)</f>
        <v>N</v>
      </c>
    </row>
    <row r="1338" spans="1:9" x14ac:dyDescent="0.45">
      <c r="A1338" s="1">
        <v>43341</v>
      </c>
      <c r="B1338">
        <v>136032.16</v>
      </c>
      <c r="C1338">
        <v>118.3790102</v>
      </c>
      <c r="D1338" s="2">
        <v>0.8</v>
      </c>
      <c r="E1338" s="2">
        <v>12.5</v>
      </c>
      <c r="F1338" s="2">
        <v>15.5</v>
      </c>
      <c r="G1338" s="2">
        <v>0</v>
      </c>
      <c r="H1338" s="2" t="str">
        <f>VLOOKUP(A1338,Holidays!$A$2:$B$2107,2,1)</f>
        <v>Y</v>
      </c>
      <c r="I1338" s="2" t="str">
        <f>VLOOKUP(A1338,Holidays!$A$2:$C$2107,3,1)</f>
        <v>N</v>
      </c>
    </row>
    <row r="1339" spans="1:9" x14ac:dyDescent="0.45">
      <c r="A1339" s="1">
        <v>43342</v>
      </c>
      <c r="B1339">
        <v>139752.54500000001</v>
      </c>
      <c r="C1339">
        <v>97.166418829999998</v>
      </c>
      <c r="D1339" s="2">
        <v>4.8</v>
      </c>
      <c r="E1339" s="2">
        <v>16.7</v>
      </c>
      <c r="F1339" s="2">
        <v>5.0999999999999996</v>
      </c>
      <c r="G1339" s="2">
        <v>0</v>
      </c>
      <c r="H1339" s="2" t="str">
        <f>VLOOKUP(A1339,Holidays!$A$2:$B$2107,2,1)</f>
        <v>Y</v>
      </c>
      <c r="I1339" s="2" t="str">
        <f>VLOOKUP(A1339,Holidays!$A$2:$C$2107,3,1)</f>
        <v>N</v>
      </c>
    </row>
    <row r="1340" spans="1:9" x14ac:dyDescent="0.45">
      <c r="A1340" s="1">
        <v>43343</v>
      </c>
      <c r="B1340">
        <v>130466.91499999999</v>
      </c>
      <c r="C1340">
        <v>122.4259917</v>
      </c>
      <c r="D1340" s="2">
        <v>8.9</v>
      </c>
      <c r="E1340" s="2">
        <v>16</v>
      </c>
      <c r="F1340" s="2">
        <v>6.8</v>
      </c>
      <c r="G1340" s="2">
        <v>1.6</v>
      </c>
      <c r="H1340" s="2" t="str">
        <f>VLOOKUP(A1340,Holidays!$A$2:$B$2107,2,1)</f>
        <v>Y</v>
      </c>
      <c r="I1340" s="2" t="str">
        <f>VLOOKUP(A1340,Holidays!$A$2:$C$2107,3,1)</f>
        <v>N</v>
      </c>
    </row>
    <row r="1341" spans="1:9" x14ac:dyDescent="0.45">
      <c r="A1341" s="1">
        <v>43344</v>
      </c>
      <c r="B1341">
        <v>116344.565</v>
      </c>
      <c r="C1341">
        <v>104.0260614</v>
      </c>
      <c r="D1341" s="2">
        <v>10.5</v>
      </c>
      <c r="E1341" s="2">
        <v>13.4</v>
      </c>
      <c r="F1341" s="2">
        <v>7.4</v>
      </c>
      <c r="G1341" s="2">
        <v>2.2000000000000002</v>
      </c>
      <c r="H1341" s="2" t="str">
        <f>VLOOKUP(A1341,Holidays!$A$2:$B$2107,2,1)</f>
        <v>Y</v>
      </c>
      <c r="I1341" s="2" t="str">
        <f>VLOOKUP(A1341,Holidays!$A$2:$C$2107,3,1)</f>
        <v>N</v>
      </c>
    </row>
    <row r="1342" spans="1:9" x14ac:dyDescent="0.45">
      <c r="A1342" s="1">
        <v>43345</v>
      </c>
      <c r="B1342">
        <v>118402.905</v>
      </c>
      <c r="C1342">
        <v>137.1315117</v>
      </c>
      <c r="D1342" s="2">
        <v>5</v>
      </c>
      <c r="E1342" s="2">
        <v>12.3</v>
      </c>
      <c r="F1342" s="2">
        <v>11.2</v>
      </c>
      <c r="G1342" s="2">
        <v>3</v>
      </c>
      <c r="H1342" s="2" t="str">
        <f>VLOOKUP(A1342,Holidays!$A$2:$B$2107,2,1)</f>
        <v>Y</v>
      </c>
      <c r="I1342" s="2" t="str">
        <f>VLOOKUP(A1342,Holidays!$A$2:$C$2107,3,1)</f>
        <v>N</v>
      </c>
    </row>
    <row r="1343" spans="1:9" x14ac:dyDescent="0.45">
      <c r="A1343" s="1">
        <v>43346</v>
      </c>
      <c r="B1343">
        <v>131448.995</v>
      </c>
      <c r="C1343">
        <v>139.51638489999999</v>
      </c>
      <c r="D1343" s="2">
        <v>5</v>
      </c>
      <c r="E1343" s="2">
        <v>13.1</v>
      </c>
      <c r="F1343" s="2">
        <v>14.7</v>
      </c>
      <c r="G1343" s="2">
        <v>0</v>
      </c>
      <c r="H1343" s="2" t="str">
        <f>VLOOKUP(A1343,Holidays!$A$2:$B$2107,2,1)</f>
        <v>Y</v>
      </c>
      <c r="I1343" s="2" t="str">
        <f>VLOOKUP(A1343,Holidays!$A$2:$C$2107,3,1)</f>
        <v>N</v>
      </c>
    </row>
    <row r="1344" spans="1:9" x14ac:dyDescent="0.45">
      <c r="A1344" s="1">
        <v>43347</v>
      </c>
      <c r="B1344">
        <v>128192.08500000001</v>
      </c>
      <c r="C1344">
        <v>119.57434360000001</v>
      </c>
      <c r="D1344" s="2">
        <v>3.4</v>
      </c>
      <c r="E1344" s="2">
        <v>19.5</v>
      </c>
      <c r="F1344" s="2">
        <v>14.7</v>
      </c>
      <c r="G1344" s="2">
        <v>0</v>
      </c>
      <c r="H1344" s="2" t="str">
        <f>VLOOKUP(A1344,Holidays!$A$2:$B$2107,2,1)</f>
        <v>Y</v>
      </c>
      <c r="I1344" s="2" t="str">
        <f>VLOOKUP(A1344,Holidays!$A$2:$C$2107,3,1)</f>
        <v>N</v>
      </c>
    </row>
    <row r="1345" spans="1:9" x14ac:dyDescent="0.45">
      <c r="A1345" s="1">
        <v>43348</v>
      </c>
      <c r="B1345">
        <v>118307.155</v>
      </c>
      <c r="C1345">
        <v>111.54075349999999</v>
      </c>
      <c r="D1345" s="2">
        <v>8.1</v>
      </c>
      <c r="E1345" s="2">
        <v>20.2</v>
      </c>
      <c r="F1345" s="2">
        <v>14.5</v>
      </c>
      <c r="G1345" s="2">
        <v>0</v>
      </c>
      <c r="H1345" s="2" t="str">
        <f>VLOOKUP(A1345,Holidays!$A$2:$B$2107,2,1)</f>
        <v>Y</v>
      </c>
      <c r="I1345" s="2" t="str">
        <f>VLOOKUP(A1345,Holidays!$A$2:$C$2107,3,1)</f>
        <v>N</v>
      </c>
    </row>
    <row r="1346" spans="1:9" x14ac:dyDescent="0.45">
      <c r="A1346" s="1">
        <v>43349</v>
      </c>
      <c r="B1346">
        <v>116467.37</v>
      </c>
      <c r="C1346">
        <v>138.90753839999999</v>
      </c>
      <c r="D1346" s="2">
        <v>13.8</v>
      </c>
      <c r="E1346" s="2">
        <v>20.6</v>
      </c>
      <c r="F1346" s="2">
        <v>9.5</v>
      </c>
      <c r="G1346" s="2">
        <v>0</v>
      </c>
      <c r="H1346" s="2" t="str">
        <f>VLOOKUP(A1346,Holidays!$A$2:$B$2107,2,1)</f>
        <v>Y</v>
      </c>
      <c r="I1346" s="2" t="str">
        <f>VLOOKUP(A1346,Holidays!$A$2:$C$2107,3,1)</f>
        <v>N</v>
      </c>
    </row>
    <row r="1347" spans="1:9" x14ac:dyDescent="0.45">
      <c r="A1347" s="1">
        <v>43350</v>
      </c>
      <c r="B1347">
        <v>123583.52</v>
      </c>
      <c r="C1347">
        <v>161.5068282</v>
      </c>
      <c r="D1347" s="2">
        <v>8.6999999999999993</v>
      </c>
      <c r="E1347" s="2">
        <v>15.1</v>
      </c>
      <c r="F1347" s="2">
        <v>14.7</v>
      </c>
      <c r="G1347" s="2">
        <v>3.4</v>
      </c>
      <c r="H1347" s="2" t="str">
        <f>VLOOKUP(A1347,Holidays!$A$2:$B$2107,2,1)</f>
        <v>Y</v>
      </c>
      <c r="I1347" s="2" t="str">
        <f>VLOOKUP(A1347,Holidays!$A$2:$C$2107,3,1)</f>
        <v>N</v>
      </c>
    </row>
    <row r="1348" spans="1:9" x14ac:dyDescent="0.45">
      <c r="A1348" s="1">
        <v>43351</v>
      </c>
      <c r="B1348">
        <v>109948.61500000001</v>
      </c>
      <c r="C1348">
        <v>109.29377119999999</v>
      </c>
      <c r="D1348" s="2">
        <v>4.2</v>
      </c>
      <c r="E1348" s="2">
        <v>17.5</v>
      </c>
      <c r="F1348" s="2">
        <v>16.2</v>
      </c>
      <c r="G1348" s="2">
        <v>0.2</v>
      </c>
      <c r="H1348" s="2" t="str">
        <f>VLOOKUP(A1348,Holidays!$A$2:$B$2107,2,1)</f>
        <v>Y</v>
      </c>
      <c r="I1348" s="2" t="str">
        <f>VLOOKUP(A1348,Holidays!$A$2:$C$2107,3,1)</f>
        <v>N</v>
      </c>
    </row>
    <row r="1349" spans="1:9" x14ac:dyDescent="0.45">
      <c r="A1349" s="1">
        <v>43352</v>
      </c>
      <c r="B1349">
        <v>107838.95</v>
      </c>
      <c r="C1349">
        <v>67.615591249999994</v>
      </c>
      <c r="D1349" s="2">
        <v>8.6</v>
      </c>
      <c r="E1349" s="2">
        <v>18.100000000000001</v>
      </c>
      <c r="F1349" s="2">
        <v>7.3</v>
      </c>
      <c r="G1349" s="2">
        <v>0</v>
      </c>
      <c r="H1349" s="2" t="str">
        <f>VLOOKUP(A1349,Holidays!$A$2:$B$2107,2,1)</f>
        <v>Y</v>
      </c>
      <c r="I1349" s="2" t="str">
        <f>VLOOKUP(A1349,Holidays!$A$2:$C$2107,3,1)</f>
        <v>N</v>
      </c>
    </row>
    <row r="1350" spans="1:9" x14ac:dyDescent="0.45">
      <c r="A1350" s="1">
        <v>43353</v>
      </c>
      <c r="B1350">
        <v>123132.625</v>
      </c>
      <c r="C1350">
        <v>92.615982560000006</v>
      </c>
      <c r="D1350" s="2">
        <v>13.4</v>
      </c>
      <c r="E1350" s="2">
        <v>18</v>
      </c>
      <c r="F1350" s="2">
        <v>10.199999999999999</v>
      </c>
      <c r="G1350" s="2">
        <v>0</v>
      </c>
      <c r="H1350" s="2" t="str">
        <f>VLOOKUP(A1350,Holidays!$A$2:$B$2107,2,1)</f>
        <v>Y</v>
      </c>
      <c r="I1350" s="2" t="str">
        <f>VLOOKUP(A1350,Holidays!$A$2:$C$2107,3,1)</f>
        <v>N</v>
      </c>
    </row>
    <row r="1351" spans="1:9" x14ac:dyDescent="0.45">
      <c r="A1351" s="1">
        <v>43354</v>
      </c>
      <c r="B1351">
        <v>111096.53</v>
      </c>
      <c r="C1351">
        <v>67.333252150000007</v>
      </c>
      <c r="D1351" s="2">
        <v>9.1</v>
      </c>
      <c r="E1351" s="2">
        <v>24.2</v>
      </c>
      <c r="F1351" s="2">
        <v>17.7</v>
      </c>
      <c r="G1351" s="2">
        <v>0</v>
      </c>
      <c r="H1351" s="2" t="str">
        <f>VLOOKUP(A1351,Holidays!$A$2:$B$2107,2,1)</f>
        <v>Y</v>
      </c>
      <c r="I1351" s="2" t="str">
        <f>VLOOKUP(A1351,Holidays!$A$2:$C$2107,3,1)</f>
        <v>N</v>
      </c>
    </row>
    <row r="1352" spans="1:9" x14ac:dyDescent="0.45">
      <c r="A1352" s="1">
        <v>43355</v>
      </c>
      <c r="B1352">
        <v>112935.03999999999</v>
      </c>
      <c r="C1352">
        <v>83.694892069999995</v>
      </c>
      <c r="D1352" s="2">
        <v>11.7</v>
      </c>
      <c r="E1352" s="2">
        <v>18.5</v>
      </c>
      <c r="F1352" s="2">
        <v>15.8</v>
      </c>
      <c r="G1352" s="2">
        <v>0</v>
      </c>
      <c r="H1352" s="2" t="str">
        <f>VLOOKUP(A1352,Holidays!$A$2:$B$2107,2,1)</f>
        <v>Y</v>
      </c>
      <c r="I1352" s="2" t="str">
        <f>VLOOKUP(A1352,Holidays!$A$2:$C$2107,3,1)</f>
        <v>N</v>
      </c>
    </row>
    <row r="1353" spans="1:9" x14ac:dyDescent="0.45">
      <c r="A1353" s="1">
        <v>43356</v>
      </c>
      <c r="B1353">
        <v>117880.565</v>
      </c>
      <c r="C1353">
        <v>84.978278599999996</v>
      </c>
      <c r="D1353" s="2">
        <v>7.1</v>
      </c>
      <c r="E1353" s="2">
        <v>19.7</v>
      </c>
      <c r="F1353" s="2">
        <v>18.2</v>
      </c>
      <c r="G1353" s="2">
        <v>0</v>
      </c>
      <c r="H1353" s="2" t="str">
        <f>VLOOKUP(A1353,Holidays!$A$2:$B$2107,2,1)</f>
        <v>Y</v>
      </c>
      <c r="I1353" s="2" t="str">
        <f>VLOOKUP(A1353,Holidays!$A$2:$C$2107,3,1)</f>
        <v>N</v>
      </c>
    </row>
    <row r="1354" spans="1:9" x14ac:dyDescent="0.45">
      <c r="A1354" s="1">
        <v>43357</v>
      </c>
      <c r="B1354">
        <v>111213.15</v>
      </c>
      <c r="C1354">
        <v>35.224262940000003</v>
      </c>
      <c r="D1354" s="2">
        <v>10.9</v>
      </c>
      <c r="E1354" s="2">
        <v>22.7</v>
      </c>
      <c r="F1354" s="2">
        <v>18.2</v>
      </c>
      <c r="G1354" s="2">
        <v>0</v>
      </c>
      <c r="H1354" s="2" t="str">
        <f>VLOOKUP(A1354,Holidays!$A$2:$B$2107,2,1)</f>
        <v>Y</v>
      </c>
      <c r="I1354" s="2" t="str">
        <f>VLOOKUP(A1354,Holidays!$A$2:$C$2107,3,1)</f>
        <v>N</v>
      </c>
    </row>
    <row r="1355" spans="1:9" x14ac:dyDescent="0.45">
      <c r="A1355" s="1">
        <v>43358</v>
      </c>
      <c r="B1355">
        <v>108632.355</v>
      </c>
      <c r="C1355">
        <v>14.67358758</v>
      </c>
      <c r="D1355" s="2">
        <v>10.199999999999999</v>
      </c>
      <c r="E1355" s="2">
        <v>13.7</v>
      </c>
      <c r="F1355" s="2">
        <v>6.3</v>
      </c>
      <c r="G1355" s="2">
        <v>0.2</v>
      </c>
      <c r="H1355" s="2" t="str">
        <f>VLOOKUP(A1355,Holidays!$A$2:$B$2107,2,1)</f>
        <v>Y</v>
      </c>
      <c r="I1355" s="2" t="str">
        <f>VLOOKUP(A1355,Holidays!$A$2:$C$2107,3,1)</f>
        <v>N</v>
      </c>
    </row>
    <row r="1356" spans="1:9" x14ac:dyDescent="0.45">
      <c r="A1356" s="1">
        <v>43359</v>
      </c>
      <c r="B1356">
        <v>113030.005</v>
      </c>
      <c r="C1356">
        <v>81.637617719999994</v>
      </c>
      <c r="D1356" s="2">
        <v>5.5</v>
      </c>
      <c r="E1356" s="2">
        <v>14</v>
      </c>
      <c r="F1356" s="2">
        <v>15.3</v>
      </c>
      <c r="G1356" s="2">
        <v>2</v>
      </c>
      <c r="H1356" s="2" t="str">
        <f>VLOOKUP(A1356,Holidays!$A$2:$B$2107,2,1)</f>
        <v>Y</v>
      </c>
      <c r="I1356" s="2" t="str">
        <f>VLOOKUP(A1356,Holidays!$A$2:$C$2107,3,1)</f>
        <v>N</v>
      </c>
    </row>
    <row r="1357" spans="1:9" x14ac:dyDescent="0.45">
      <c r="A1357" s="1">
        <v>43360</v>
      </c>
      <c r="B1357">
        <v>118208.24</v>
      </c>
      <c r="C1357">
        <v>70.685303939999997</v>
      </c>
      <c r="D1357" s="2">
        <v>6.7</v>
      </c>
      <c r="E1357" s="2">
        <v>18.100000000000001</v>
      </c>
      <c r="F1357" s="2">
        <v>18.7</v>
      </c>
      <c r="G1357" s="2">
        <v>0</v>
      </c>
      <c r="H1357" s="2" t="str">
        <f>VLOOKUP(A1357,Holidays!$A$2:$B$2107,2,1)</f>
        <v>Y</v>
      </c>
      <c r="I1357" s="2" t="str">
        <f>VLOOKUP(A1357,Holidays!$A$2:$C$2107,3,1)</f>
        <v>N</v>
      </c>
    </row>
    <row r="1358" spans="1:9" x14ac:dyDescent="0.45">
      <c r="A1358" s="1">
        <v>43361</v>
      </c>
      <c r="B1358">
        <v>119622.285</v>
      </c>
      <c r="C1358">
        <v>85.452468640000006</v>
      </c>
      <c r="D1358" s="2">
        <v>11</v>
      </c>
      <c r="E1358" s="2">
        <v>20.3</v>
      </c>
      <c r="F1358" s="2">
        <v>8</v>
      </c>
      <c r="G1358" s="2">
        <v>0</v>
      </c>
      <c r="H1358" s="2" t="str">
        <f>VLOOKUP(A1358,Holidays!$A$2:$B$2107,2,1)</f>
        <v>Y</v>
      </c>
      <c r="I1358" s="2" t="str">
        <f>VLOOKUP(A1358,Holidays!$A$2:$C$2107,3,1)</f>
        <v>N</v>
      </c>
    </row>
    <row r="1359" spans="1:9" x14ac:dyDescent="0.45">
      <c r="A1359" s="1">
        <v>43362</v>
      </c>
      <c r="B1359">
        <v>123787.77</v>
      </c>
      <c r="C1359">
        <v>101.0040489</v>
      </c>
      <c r="D1359" s="2">
        <v>8.5</v>
      </c>
      <c r="E1359" s="2">
        <v>14.7</v>
      </c>
      <c r="F1359" s="2">
        <v>16.100000000000001</v>
      </c>
      <c r="G1359" s="2">
        <v>3</v>
      </c>
      <c r="H1359" s="2" t="str">
        <f>VLOOKUP(A1359,Holidays!$A$2:$B$2107,2,1)</f>
        <v>Y</v>
      </c>
      <c r="I1359" s="2" t="str">
        <f>VLOOKUP(A1359,Holidays!$A$2:$C$2107,3,1)</f>
        <v>N</v>
      </c>
    </row>
    <row r="1360" spans="1:9" x14ac:dyDescent="0.45">
      <c r="A1360" s="1">
        <v>43363</v>
      </c>
      <c r="B1360">
        <v>125335.57</v>
      </c>
      <c r="C1360">
        <v>115.429534</v>
      </c>
      <c r="D1360" s="2">
        <v>3.8</v>
      </c>
      <c r="E1360" s="2">
        <v>17.399999999999999</v>
      </c>
      <c r="F1360" s="2">
        <v>18.5</v>
      </c>
      <c r="G1360" s="2">
        <v>0.8</v>
      </c>
      <c r="H1360" s="2" t="str">
        <f>VLOOKUP(A1360,Holidays!$A$2:$B$2107,2,1)</f>
        <v>Y</v>
      </c>
      <c r="I1360" s="2" t="str">
        <f>VLOOKUP(A1360,Holidays!$A$2:$C$2107,3,1)</f>
        <v>N</v>
      </c>
    </row>
    <row r="1361" spans="1:9" x14ac:dyDescent="0.45">
      <c r="A1361" s="1">
        <v>43364</v>
      </c>
      <c r="B1361">
        <v>120372.48</v>
      </c>
      <c r="C1361">
        <v>110.8134668</v>
      </c>
      <c r="D1361" s="2">
        <v>8.3000000000000007</v>
      </c>
      <c r="E1361" s="2">
        <v>18.899999999999999</v>
      </c>
      <c r="F1361" s="2">
        <v>16.600000000000001</v>
      </c>
      <c r="G1361" s="2">
        <v>0</v>
      </c>
      <c r="H1361" s="2" t="str">
        <f>VLOOKUP(A1361,Holidays!$A$2:$B$2107,2,1)</f>
        <v>N</v>
      </c>
      <c r="I1361" s="2" t="str">
        <f>VLOOKUP(A1361,Holidays!$A$2:$C$2107,3,1)</f>
        <v>N</v>
      </c>
    </row>
    <row r="1362" spans="1:9" x14ac:dyDescent="0.45">
      <c r="A1362" s="1">
        <v>43365</v>
      </c>
      <c r="B1362">
        <v>107731.72</v>
      </c>
      <c r="C1362">
        <v>83.493593180000005</v>
      </c>
      <c r="D1362" s="2">
        <v>6.8</v>
      </c>
      <c r="E1362" s="2">
        <v>17.3</v>
      </c>
      <c r="F1362" s="2">
        <v>19.7</v>
      </c>
      <c r="G1362" s="2">
        <v>0</v>
      </c>
      <c r="H1362" s="2" t="str">
        <f>VLOOKUP(A1362,Holidays!$A$2:$B$2107,2,1)</f>
        <v>N</v>
      </c>
      <c r="I1362" s="2" t="str">
        <f>VLOOKUP(A1362,Holidays!$A$2:$C$2107,3,1)</f>
        <v>N</v>
      </c>
    </row>
    <row r="1363" spans="1:9" x14ac:dyDescent="0.45">
      <c r="A1363" s="1">
        <v>43366</v>
      </c>
      <c r="B1363">
        <v>107332.1</v>
      </c>
      <c r="C1363">
        <v>79.780017569999998</v>
      </c>
      <c r="D1363" s="2">
        <v>10.4</v>
      </c>
      <c r="E1363" s="2">
        <v>13.7</v>
      </c>
      <c r="F1363" s="2">
        <v>11.6</v>
      </c>
      <c r="G1363" s="2">
        <v>0.2</v>
      </c>
      <c r="H1363" s="2" t="str">
        <f>VLOOKUP(A1363,Holidays!$A$2:$B$2107,2,1)</f>
        <v>N</v>
      </c>
      <c r="I1363" s="2" t="str">
        <f>VLOOKUP(A1363,Holidays!$A$2:$C$2107,3,1)</f>
        <v>N</v>
      </c>
    </row>
    <row r="1364" spans="1:9" x14ac:dyDescent="0.45">
      <c r="A1364" s="1">
        <v>43367</v>
      </c>
      <c r="B1364">
        <v>119535.715</v>
      </c>
      <c r="C1364">
        <v>93.755130829999999</v>
      </c>
      <c r="D1364" s="2">
        <v>4.5999999999999996</v>
      </c>
      <c r="E1364" s="2">
        <v>14.9</v>
      </c>
      <c r="F1364" s="2">
        <v>17.2</v>
      </c>
      <c r="G1364" s="2">
        <v>0</v>
      </c>
      <c r="H1364" s="2" t="str">
        <f>VLOOKUP(A1364,Holidays!$A$2:$B$2107,2,1)</f>
        <v>N</v>
      </c>
      <c r="I1364" s="2" t="str">
        <f>VLOOKUP(A1364,Holidays!$A$2:$C$2107,3,1)</f>
        <v>N</v>
      </c>
    </row>
    <row r="1365" spans="1:9" x14ac:dyDescent="0.45">
      <c r="A1365" s="1">
        <v>43368</v>
      </c>
      <c r="B1365">
        <v>124797.08500000001</v>
      </c>
      <c r="C1365">
        <v>118.656356</v>
      </c>
      <c r="D1365" s="2">
        <v>8.6</v>
      </c>
      <c r="E1365" s="2">
        <v>13.6</v>
      </c>
      <c r="F1365" s="2">
        <v>12.2</v>
      </c>
      <c r="G1365" s="2">
        <v>0</v>
      </c>
      <c r="H1365" s="2" t="str">
        <f>VLOOKUP(A1365,Holidays!$A$2:$B$2107,2,1)</f>
        <v>N</v>
      </c>
      <c r="I1365" s="2" t="str">
        <f>VLOOKUP(A1365,Holidays!$A$2:$C$2107,3,1)</f>
        <v>N</v>
      </c>
    </row>
    <row r="1366" spans="1:9" x14ac:dyDescent="0.45">
      <c r="A1366" s="1">
        <v>43369</v>
      </c>
      <c r="B1366">
        <v>119238.345</v>
      </c>
      <c r="C1366">
        <v>120.8612104</v>
      </c>
      <c r="D1366" s="2">
        <v>6.4</v>
      </c>
      <c r="E1366" s="2">
        <v>17.600000000000001</v>
      </c>
      <c r="F1366" s="2">
        <v>20.8</v>
      </c>
      <c r="G1366" s="2">
        <v>0</v>
      </c>
      <c r="H1366" s="2" t="str">
        <f>VLOOKUP(A1366,Holidays!$A$2:$B$2107,2,1)</f>
        <v>N</v>
      </c>
      <c r="I1366" s="2" t="str">
        <f>VLOOKUP(A1366,Holidays!$A$2:$C$2107,3,1)</f>
        <v>N</v>
      </c>
    </row>
    <row r="1367" spans="1:9" x14ac:dyDescent="0.45">
      <c r="A1367" s="1">
        <v>43370</v>
      </c>
      <c r="B1367">
        <v>110878.67</v>
      </c>
      <c r="C1367">
        <v>99.286997249999999</v>
      </c>
      <c r="D1367" s="2">
        <v>9.1999999999999993</v>
      </c>
      <c r="E1367" s="2">
        <v>24.2</v>
      </c>
      <c r="F1367" s="2">
        <v>20.8</v>
      </c>
      <c r="G1367" s="2">
        <v>0</v>
      </c>
      <c r="H1367" s="2" t="str">
        <f>VLOOKUP(A1367,Holidays!$A$2:$B$2107,2,1)</f>
        <v>N</v>
      </c>
      <c r="I1367" s="2" t="str">
        <f>VLOOKUP(A1367,Holidays!$A$2:$C$2107,3,1)</f>
        <v>N</v>
      </c>
    </row>
    <row r="1368" spans="1:9" x14ac:dyDescent="0.45">
      <c r="A1368" s="1">
        <v>43371</v>
      </c>
      <c r="B1368">
        <v>108622.42</v>
      </c>
      <c r="C1368">
        <v>90.212995460000002</v>
      </c>
      <c r="D1368" s="2">
        <v>10.7</v>
      </c>
      <c r="E1368" s="2">
        <v>15.2</v>
      </c>
      <c r="F1368" s="2">
        <v>10.199999999999999</v>
      </c>
      <c r="G1368" s="2">
        <v>0</v>
      </c>
      <c r="H1368" s="2" t="str">
        <f>VLOOKUP(A1368,Holidays!$A$2:$B$2107,2,1)</f>
        <v>N</v>
      </c>
      <c r="I1368" s="2" t="str">
        <f>VLOOKUP(A1368,Holidays!$A$2:$C$2107,3,1)</f>
        <v>Y</v>
      </c>
    </row>
    <row r="1369" spans="1:9" x14ac:dyDescent="0.45">
      <c r="A1369" s="1">
        <v>43372</v>
      </c>
      <c r="B1369">
        <v>109315.065</v>
      </c>
      <c r="C1369">
        <v>86.164086429999998</v>
      </c>
      <c r="D1369" s="2">
        <v>5.5</v>
      </c>
      <c r="E1369" s="2">
        <v>14</v>
      </c>
      <c r="F1369" s="2">
        <v>17</v>
      </c>
      <c r="G1369" s="2">
        <v>1.2</v>
      </c>
      <c r="H1369" s="2" t="str">
        <f>VLOOKUP(A1369,Holidays!$A$2:$B$2107,2,1)</f>
        <v>N</v>
      </c>
      <c r="I1369" s="2" t="str">
        <f>VLOOKUP(A1369,Holidays!$A$2:$C$2107,3,1)</f>
        <v>N</v>
      </c>
    </row>
    <row r="1370" spans="1:9" x14ac:dyDescent="0.45">
      <c r="A1370" s="1">
        <v>43373</v>
      </c>
      <c r="B1370">
        <v>106236.23</v>
      </c>
      <c r="C1370">
        <v>86.884516410000003</v>
      </c>
      <c r="D1370" s="2">
        <v>6.8</v>
      </c>
      <c r="E1370" s="2">
        <v>16.5</v>
      </c>
      <c r="F1370" s="2">
        <v>19.8</v>
      </c>
      <c r="G1370" s="2">
        <v>0.2</v>
      </c>
      <c r="H1370" s="2" t="str">
        <f>VLOOKUP(A1370,Holidays!$A$2:$B$2107,2,1)</f>
        <v>N</v>
      </c>
      <c r="I1370" s="2" t="str">
        <f>VLOOKUP(A1370,Holidays!$A$2:$C$2107,3,1)</f>
        <v>N</v>
      </c>
    </row>
    <row r="1371" spans="1:9" x14ac:dyDescent="0.45">
      <c r="A1371" s="1">
        <v>43374</v>
      </c>
      <c r="B1371">
        <v>114466.64</v>
      </c>
      <c r="C1371">
        <v>111.1212712</v>
      </c>
      <c r="D1371" s="2">
        <v>4.7</v>
      </c>
      <c r="E1371" s="2">
        <v>23.3</v>
      </c>
      <c r="F1371" s="2">
        <v>21.4</v>
      </c>
      <c r="G1371" s="2">
        <v>0</v>
      </c>
      <c r="H1371" s="2" t="str">
        <f>VLOOKUP(A1371,Holidays!$A$2:$B$2107,2,1)</f>
        <v>N</v>
      </c>
      <c r="I1371" s="2" t="str">
        <f>VLOOKUP(A1371,Holidays!$A$2:$C$2107,3,1)</f>
        <v>N</v>
      </c>
    </row>
    <row r="1372" spans="1:9" x14ac:dyDescent="0.45">
      <c r="A1372" s="1">
        <v>43375</v>
      </c>
      <c r="B1372">
        <v>114458.205</v>
      </c>
      <c r="C1372">
        <v>104.9424003</v>
      </c>
      <c r="D1372" s="2">
        <v>11.4</v>
      </c>
      <c r="E1372" s="2">
        <v>25.8</v>
      </c>
      <c r="F1372" s="2">
        <v>13.4</v>
      </c>
      <c r="G1372" s="2">
        <v>0</v>
      </c>
      <c r="H1372" s="2" t="str">
        <f>VLOOKUP(A1372,Holidays!$A$2:$B$2107,2,1)</f>
        <v>N</v>
      </c>
      <c r="I1372" s="2" t="str">
        <f>VLOOKUP(A1372,Holidays!$A$2:$C$2107,3,1)</f>
        <v>N</v>
      </c>
    </row>
    <row r="1373" spans="1:9" x14ac:dyDescent="0.45">
      <c r="A1373" s="1">
        <v>43376</v>
      </c>
      <c r="B1373">
        <v>115490.83500000001</v>
      </c>
      <c r="C1373">
        <v>122.0868375</v>
      </c>
      <c r="D1373" s="2">
        <v>14.7</v>
      </c>
      <c r="E1373" s="2">
        <v>18.100000000000001</v>
      </c>
      <c r="F1373" s="2">
        <v>10.9</v>
      </c>
      <c r="G1373" s="2">
        <v>0</v>
      </c>
      <c r="H1373" s="2" t="str">
        <f>VLOOKUP(A1373,Holidays!$A$2:$B$2107,2,1)</f>
        <v>N</v>
      </c>
      <c r="I1373" s="2" t="str">
        <f>VLOOKUP(A1373,Holidays!$A$2:$C$2107,3,1)</f>
        <v>N</v>
      </c>
    </row>
    <row r="1374" spans="1:9" x14ac:dyDescent="0.45">
      <c r="A1374" s="1">
        <v>43377</v>
      </c>
      <c r="B1374">
        <v>115294.12</v>
      </c>
      <c r="C1374">
        <v>97.499455749999996</v>
      </c>
      <c r="D1374" s="2">
        <v>10.9</v>
      </c>
      <c r="E1374" s="2">
        <v>14.6</v>
      </c>
      <c r="F1374" s="2">
        <v>12.5</v>
      </c>
      <c r="G1374" s="2">
        <v>0</v>
      </c>
      <c r="H1374" s="2" t="str">
        <f>VLOOKUP(A1374,Holidays!$A$2:$B$2107,2,1)</f>
        <v>N</v>
      </c>
      <c r="I1374" s="2" t="str">
        <f>VLOOKUP(A1374,Holidays!$A$2:$C$2107,3,1)</f>
        <v>N</v>
      </c>
    </row>
    <row r="1375" spans="1:9" x14ac:dyDescent="0.45">
      <c r="A1375" s="1">
        <v>43378</v>
      </c>
      <c r="B1375">
        <v>112576.545</v>
      </c>
      <c r="C1375">
        <v>105.2909812</v>
      </c>
      <c r="D1375" s="2">
        <v>9.1</v>
      </c>
      <c r="E1375" s="2">
        <v>20.5</v>
      </c>
      <c r="F1375" s="2">
        <v>22.5</v>
      </c>
      <c r="G1375" s="2">
        <v>0</v>
      </c>
      <c r="H1375" s="2" t="str">
        <f>VLOOKUP(A1375,Holidays!$A$2:$B$2107,2,1)</f>
        <v>N</v>
      </c>
      <c r="I1375" s="2" t="str">
        <f>VLOOKUP(A1375,Holidays!$A$2:$C$2107,3,1)</f>
        <v>N</v>
      </c>
    </row>
    <row r="1376" spans="1:9" x14ac:dyDescent="0.45">
      <c r="A1376" s="1">
        <v>43379</v>
      </c>
      <c r="B1376">
        <v>102988.145</v>
      </c>
      <c r="C1376">
        <v>100.10292629999999</v>
      </c>
      <c r="D1376" s="2">
        <v>8.3000000000000007</v>
      </c>
      <c r="E1376" s="2">
        <v>23.8</v>
      </c>
      <c r="F1376" s="2">
        <v>22.7</v>
      </c>
      <c r="G1376" s="2">
        <v>0</v>
      </c>
      <c r="H1376" s="2" t="str">
        <f>VLOOKUP(A1376,Holidays!$A$2:$B$2107,2,1)</f>
        <v>N</v>
      </c>
      <c r="I1376" s="2" t="str">
        <f>VLOOKUP(A1376,Holidays!$A$2:$C$2107,3,1)</f>
        <v>N</v>
      </c>
    </row>
    <row r="1377" spans="1:9" x14ac:dyDescent="0.45">
      <c r="A1377" s="1">
        <v>43380</v>
      </c>
      <c r="B1377">
        <v>100476.705</v>
      </c>
      <c r="C1377">
        <v>87.871654219999996</v>
      </c>
      <c r="D1377" s="2">
        <v>10.3</v>
      </c>
      <c r="E1377" s="2">
        <v>24.7</v>
      </c>
      <c r="F1377" s="2">
        <v>21.2</v>
      </c>
      <c r="G1377" s="2">
        <v>0</v>
      </c>
      <c r="H1377" s="2" t="str">
        <f>VLOOKUP(A1377,Holidays!$A$2:$B$2107,2,1)</f>
        <v>N</v>
      </c>
      <c r="I1377" s="2" t="str">
        <f>VLOOKUP(A1377,Holidays!$A$2:$C$2107,3,1)</f>
        <v>N</v>
      </c>
    </row>
    <row r="1378" spans="1:9" x14ac:dyDescent="0.45">
      <c r="A1378" s="1">
        <v>43381</v>
      </c>
      <c r="B1378">
        <v>113945.5</v>
      </c>
      <c r="C1378">
        <v>87.101261609999995</v>
      </c>
      <c r="D1378" s="2">
        <v>13.5</v>
      </c>
      <c r="E1378" s="2">
        <v>28.2</v>
      </c>
      <c r="F1378" s="2">
        <v>22.7</v>
      </c>
      <c r="G1378" s="2">
        <v>0</v>
      </c>
      <c r="H1378" s="2" t="str">
        <f>VLOOKUP(A1378,Holidays!$A$2:$B$2107,2,1)</f>
        <v>N</v>
      </c>
      <c r="I1378" s="2" t="str">
        <f>VLOOKUP(A1378,Holidays!$A$2:$C$2107,3,1)</f>
        <v>N</v>
      </c>
    </row>
    <row r="1379" spans="1:9" x14ac:dyDescent="0.45">
      <c r="A1379" s="1">
        <v>43382</v>
      </c>
      <c r="B1379">
        <v>116449.31</v>
      </c>
      <c r="C1379">
        <v>99.00074936</v>
      </c>
      <c r="D1379" s="2">
        <v>16.100000000000001</v>
      </c>
      <c r="E1379" s="2">
        <v>17.899999999999999</v>
      </c>
      <c r="F1379" s="2">
        <v>7.2</v>
      </c>
      <c r="H1379" s="2" t="str">
        <f>VLOOKUP(A1379,Holidays!$A$2:$B$2107,2,1)</f>
        <v>Y</v>
      </c>
      <c r="I1379" s="2" t="str">
        <f>VLOOKUP(A1379,Holidays!$A$2:$C$2107,3,1)</f>
        <v>N</v>
      </c>
    </row>
    <row r="1380" spans="1:9" x14ac:dyDescent="0.45">
      <c r="A1380" s="1">
        <v>43383</v>
      </c>
      <c r="B1380">
        <v>109551.08</v>
      </c>
      <c r="C1380">
        <v>73.539697610000005</v>
      </c>
      <c r="D1380" s="2">
        <v>10.1</v>
      </c>
      <c r="E1380" s="2">
        <v>16.5</v>
      </c>
      <c r="F1380" s="2">
        <v>20</v>
      </c>
      <c r="H1380" s="2" t="str">
        <f>VLOOKUP(A1380,Holidays!$A$2:$B$2107,2,1)</f>
        <v>Y</v>
      </c>
      <c r="I1380" s="2" t="str">
        <f>VLOOKUP(A1380,Holidays!$A$2:$C$2107,3,1)</f>
        <v>N</v>
      </c>
    </row>
    <row r="1381" spans="1:9" x14ac:dyDescent="0.45">
      <c r="A1381" s="1">
        <v>43384</v>
      </c>
      <c r="B1381">
        <v>110432.33</v>
      </c>
      <c r="C1381">
        <v>85.630408540000005</v>
      </c>
      <c r="D1381" s="2">
        <v>6.4</v>
      </c>
      <c r="E1381" s="2">
        <v>20.7</v>
      </c>
      <c r="F1381" s="2">
        <v>23.7</v>
      </c>
      <c r="G1381" s="2">
        <v>0</v>
      </c>
      <c r="H1381" s="2" t="str">
        <f>VLOOKUP(A1381,Holidays!$A$2:$B$2107,2,1)</f>
        <v>Y</v>
      </c>
      <c r="I1381" s="2" t="str">
        <f>VLOOKUP(A1381,Holidays!$A$2:$C$2107,3,1)</f>
        <v>N</v>
      </c>
    </row>
    <row r="1382" spans="1:9" x14ac:dyDescent="0.45">
      <c r="A1382" s="1">
        <v>43385</v>
      </c>
      <c r="B1382">
        <v>110457.33500000001</v>
      </c>
      <c r="C1382">
        <v>88.472364569999996</v>
      </c>
      <c r="D1382" s="2">
        <v>8.6999999999999993</v>
      </c>
      <c r="E1382" s="2">
        <v>22.7</v>
      </c>
      <c r="F1382" s="2">
        <v>23.9</v>
      </c>
      <c r="G1382" s="2">
        <v>0</v>
      </c>
      <c r="H1382" s="2" t="str">
        <f>VLOOKUP(A1382,Holidays!$A$2:$B$2107,2,1)</f>
        <v>Y</v>
      </c>
      <c r="I1382" s="2" t="str">
        <f>VLOOKUP(A1382,Holidays!$A$2:$C$2107,3,1)</f>
        <v>N</v>
      </c>
    </row>
    <row r="1383" spans="1:9" x14ac:dyDescent="0.45">
      <c r="A1383" s="1">
        <v>43386</v>
      </c>
      <c r="B1383">
        <v>96584.744999999995</v>
      </c>
      <c r="C1383">
        <v>74.616600149999996</v>
      </c>
      <c r="D1383" s="2">
        <v>10.5</v>
      </c>
      <c r="E1383" s="2">
        <v>24.9</v>
      </c>
      <c r="F1383" s="2">
        <v>23.2</v>
      </c>
      <c r="G1383" s="2">
        <v>0</v>
      </c>
      <c r="H1383" s="2" t="str">
        <f>VLOOKUP(A1383,Holidays!$A$2:$B$2107,2,1)</f>
        <v>Y</v>
      </c>
      <c r="I1383" s="2" t="str">
        <f>VLOOKUP(A1383,Holidays!$A$2:$C$2107,3,1)</f>
        <v>N</v>
      </c>
    </row>
    <row r="1384" spans="1:9" x14ac:dyDescent="0.45">
      <c r="A1384" s="1">
        <v>43387</v>
      </c>
      <c r="B1384">
        <v>90918.615000000005</v>
      </c>
      <c r="C1384">
        <v>56.864164340000002</v>
      </c>
      <c r="D1384" s="2">
        <v>12.4</v>
      </c>
      <c r="E1384" s="2">
        <v>27.3</v>
      </c>
      <c r="F1384" s="2">
        <v>22.1</v>
      </c>
      <c r="G1384" s="2">
        <v>0</v>
      </c>
      <c r="H1384" s="2" t="str">
        <f>VLOOKUP(A1384,Holidays!$A$2:$B$2107,2,1)</f>
        <v>Y</v>
      </c>
      <c r="I1384" s="2" t="str">
        <f>VLOOKUP(A1384,Holidays!$A$2:$C$2107,3,1)</f>
        <v>N</v>
      </c>
    </row>
    <row r="1385" spans="1:9" x14ac:dyDescent="0.45">
      <c r="A1385" s="1">
        <v>43388</v>
      </c>
      <c r="B1385">
        <v>108070.27499999999</v>
      </c>
      <c r="C1385">
        <v>79.182454410000005</v>
      </c>
      <c r="D1385" s="2">
        <v>19.5</v>
      </c>
      <c r="E1385" s="2">
        <v>27.5</v>
      </c>
      <c r="F1385" s="2">
        <v>19.399999999999999</v>
      </c>
      <c r="G1385" s="2">
        <v>0</v>
      </c>
      <c r="H1385" s="2" t="str">
        <f>VLOOKUP(A1385,Holidays!$A$2:$B$2107,2,1)</f>
        <v>Y</v>
      </c>
      <c r="I1385" s="2" t="str">
        <f>VLOOKUP(A1385,Holidays!$A$2:$C$2107,3,1)</f>
        <v>N</v>
      </c>
    </row>
    <row r="1386" spans="1:9" x14ac:dyDescent="0.45">
      <c r="A1386" s="1">
        <v>43389</v>
      </c>
      <c r="B1386">
        <v>113889.41</v>
      </c>
      <c r="C1386">
        <v>89.02524597</v>
      </c>
      <c r="D1386" s="2">
        <v>20</v>
      </c>
      <c r="E1386" s="2">
        <v>23.1</v>
      </c>
      <c r="F1386" s="2">
        <v>6.1</v>
      </c>
      <c r="G1386" s="2">
        <v>0.2</v>
      </c>
      <c r="H1386" s="2" t="str">
        <f>VLOOKUP(A1386,Holidays!$A$2:$B$2107,2,1)</f>
        <v>Y</v>
      </c>
      <c r="I1386" s="2" t="str">
        <f>VLOOKUP(A1386,Holidays!$A$2:$C$2107,3,1)</f>
        <v>N</v>
      </c>
    </row>
    <row r="1387" spans="1:9" x14ac:dyDescent="0.45">
      <c r="A1387" s="1">
        <v>43390</v>
      </c>
      <c r="B1387">
        <v>112592.26</v>
      </c>
      <c r="C1387">
        <v>122.20067</v>
      </c>
      <c r="D1387" s="2">
        <v>16.100000000000001</v>
      </c>
      <c r="E1387" s="2">
        <v>22.6</v>
      </c>
      <c r="F1387" s="2">
        <v>15.1</v>
      </c>
      <c r="G1387" s="2">
        <v>5.2</v>
      </c>
      <c r="H1387" s="2" t="str">
        <f>VLOOKUP(A1387,Holidays!$A$2:$B$2107,2,1)</f>
        <v>Y</v>
      </c>
      <c r="I1387" s="2" t="str">
        <f>VLOOKUP(A1387,Holidays!$A$2:$C$2107,3,1)</f>
        <v>N</v>
      </c>
    </row>
    <row r="1388" spans="1:9" x14ac:dyDescent="0.45">
      <c r="A1388" s="1">
        <v>43391</v>
      </c>
      <c r="B1388">
        <v>112806.58500000001</v>
      </c>
      <c r="C1388">
        <v>165.77970980000001</v>
      </c>
      <c r="D1388" s="2">
        <v>14.7</v>
      </c>
      <c r="E1388" s="2">
        <v>20.7</v>
      </c>
      <c r="F1388" s="2">
        <v>10.5</v>
      </c>
      <c r="G1388" s="2">
        <v>2</v>
      </c>
      <c r="H1388" s="2" t="str">
        <f>VLOOKUP(A1388,Holidays!$A$2:$B$2107,2,1)</f>
        <v>Y</v>
      </c>
      <c r="I1388" s="2" t="str">
        <f>VLOOKUP(A1388,Holidays!$A$2:$C$2107,3,1)</f>
        <v>N</v>
      </c>
    </row>
    <row r="1389" spans="1:9" x14ac:dyDescent="0.45">
      <c r="A1389" s="1">
        <v>43392</v>
      </c>
      <c r="B1389">
        <v>107940.16</v>
      </c>
      <c r="C1389">
        <v>101.6603803</v>
      </c>
      <c r="D1389" s="2">
        <v>12.8</v>
      </c>
      <c r="E1389" s="2">
        <v>27.4</v>
      </c>
      <c r="F1389" s="2">
        <v>23</v>
      </c>
      <c r="G1389" s="2">
        <v>0</v>
      </c>
      <c r="H1389" s="2" t="str">
        <f>VLOOKUP(A1389,Holidays!$A$2:$B$2107,2,1)</f>
        <v>Y</v>
      </c>
      <c r="I1389" s="2" t="str">
        <f>VLOOKUP(A1389,Holidays!$A$2:$C$2107,3,1)</f>
        <v>N</v>
      </c>
    </row>
    <row r="1390" spans="1:9" x14ac:dyDescent="0.45">
      <c r="A1390" s="1">
        <v>43393</v>
      </c>
      <c r="B1390">
        <v>99368.854999999996</v>
      </c>
      <c r="C1390">
        <v>96.292242040000005</v>
      </c>
      <c r="D1390" s="2">
        <v>11.7</v>
      </c>
      <c r="E1390" s="2">
        <v>16.100000000000001</v>
      </c>
      <c r="F1390" s="2">
        <v>9.8000000000000007</v>
      </c>
      <c r="G1390" s="2">
        <v>5</v>
      </c>
      <c r="H1390" s="2" t="str">
        <f>VLOOKUP(A1390,Holidays!$A$2:$B$2107,2,1)</f>
        <v>Y</v>
      </c>
      <c r="I1390" s="2" t="str">
        <f>VLOOKUP(A1390,Holidays!$A$2:$C$2107,3,1)</f>
        <v>N</v>
      </c>
    </row>
    <row r="1391" spans="1:9" x14ac:dyDescent="0.45">
      <c r="A1391" s="1">
        <v>43394</v>
      </c>
      <c r="B1391">
        <v>98427.53</v>
      </c>
      <c r="C1391">
        <v>81.920924420000006</v>
      </c>
      <c r="D1391" s="2">
        <v>7.6</v>
      </c>
      <c r="E1391" s="2">
        <v>19.2</v>
      </c>
      <c r="F1391" s="2">
        <v>22.7</v>
      </c>
      <c r="G1391" s="2">
        <v>5.6</v>
      </c>
      <c r="H1391" s="2" t="str">
        <f>VLOOKUP(A1391,Holidays!$A$2:$B$2107,2,1)</f>
        <v>Y</v>
      </c>
      <c r="I1391" s="2" t="str">
        <f>VLOOKUP(A1391,Holidays!$A$2:$C$2107,3,1)</f>
        <v>N</v>
      </c>
    </row>
    <row r="1392" spans="1:9" x14ac:dyDescent="0.45">
      <c r="A1392" s="1">
        <v>43395</v>
      </c>
      <c r="B1392">
        <v>105893.61500000001</v>
      </c>
      <c r="C1392">
        <v>84.175390419999999</v>
      </c>
      <c r="D1392" s="2">
        <v>8.9</v>
      </c>
      <c r="E1392" s="2">
        <v>27</v>
      </c>
      <c r="F1392" s="2">
        <v>25.7</v>
      </c>
      <c r="G1392" s="2">
        <v>0</v>
      </c>
      <c r="H1392" s="2" t="str">
        <f>VLOOKUP(A1392,Holidays!$A$2:$B$2107,2,1)</f>
        <v>Y</v>
      </c>
      <c r="I1392" s="2" t="str">
        <f>VLOOKUP(A1392,Holidays!$A$2:$C$2107,3,1)</f>
        <v>N</v>
      </c>
    </row>
    <row r="1393" spans="1:9" x14ac:dyDescent="0.45">
      <c r="A1393" s="1">
        <v>43396</v>
      </c>
      <c r="B1393">
        <v>109241.565</v>
      </c>
      <c r="C1393">
        <v>90.935335870000003</v>
      </c>
      <c r="D1393" s="2">
        <v>13</v>
      </c>
      <c r="E1393" s="2">
        <v>18.8</v>
      </c>
      <c r="F1393" s="2">
        <v>16.7</v>
      </c>
      <c r="G1393" s="2">
        <v>0</v>
      </c>
      <c r="H1393" s="2" t="str">
        <f>VLOOKUP(A1393,Holidays!$A$2:$B$2107,2,1)</f>
        <v>Y</v>
      </c>
      <c r="I1393" s="2" t="str">
        <f>VLOOKUP(A1393,Holidays!$A$2:$C$2107,3,1)</f>
        <v>N</v>
      </c>
    </row>
    <row r="1394" spans="1:9" x14ac:dyDescent="0.45">
      <c r="A1394" s="1">
        <v>43397</v>
      </c>
      <c r="B1394">
        <v>111423.36500000001</v>
      </c>
      <c r="C1394">
        <v>93.344752569999997</v>
      </c>
      <c r="D1394" s="2">
        <v>9.1999999999999993</v>
      </c>
      <c r="E1394" s="2">
        <v>15.5</v>
      </c>
      <c r="F1394" s="2">
        <v>19.7</v>
      </c>
      <c r="G1394" s="2">
        <v>0</v>
      </c>
      <c r="H1394" s="2" t="str">
        <f>VLOOKUP(A1394,Holidays!$A$2:$B$2107,2,1)</f>
        <v>Y</v>
      </c>
      <c r="I1394" s="2" t="str">
        <f>VLOOKUP(A1394,Holidays!$A$2:$C$2107,3,1)</f>
        <v>N</v>
      </c>
    </row>
    <row r="1395" spans="1:9" x14ac:dyDescent="0.45">
      <c r="A1395" s="1">
        <v>43398</v>
      </c>
      <c r="B1395">
        <v>112414.39</v>
      </c>
      <c r="C1395">
        <v>115.427252</v>
      </c>
      <c r="D1395" s="2">
        <v>6.4</v>
      </c>
      <c r="E1395" s="2">
        <v>19.5</v>
      </c>
      <c r="F1395" s="2">
        <v>25</v>
      </c>
      <c r="G1395" s="2">
        <v>0</v>
      </c>
      <c r="H1395" s="2" t="str">
        <f>VLOOKUP(A1395,Holidays!$A$2:$B$2107,2,1)</f>
        <v>Y</v>
      </c>
      <c r="I1395" s="2" t="str">
        <f>VLOOKUP(A1395,Holidays!$A$2:$C$2107,3,1)</f>
        <v>N</v>
      </c>
    </row>
    <row r="1396" spans="1:9" x14ac:dyDescent="0.45">
      <c r="A1396" s="1">
        <v>43399</v>
      </c>
      <c r="B1396">
        <v>111145.12</v>
      </c>
      <c r="C1396">
        <v>111.2042443</v>
      </c>
      <c r="D1396" s="2">
        <v>9.6</v>
      </c>
      <c r="E1396" s="2">
        <v>18.3</v>
      </c>
      <c r="F1396" s="2">
        <v>23.7</v>
      </c>
      <c r="G1396" s="2">
        <v>0</v>
      </c>
      <c r="H1396" s="2" t="str">
        <f>VLOOKUP(A1396,Holidays!$A$2:$B$2107,2,1)</f>
        <v>Y</v>
      </c>
      <c r="I1396" s="2" t="str">
        <f>VLOOKUP(A1396,Holidays!$A$2:$C$2107,3,1)</f>
        <v>N</v>
      </c>
    </row>
    <row r="1397" spans="1:9" x14ac:dyDescent="0.45">
      <c r="A1397" s="1">
        <v>43400</v>
      </c>
      <c r="B1397">
        <v>97973.985000000001</v>
      </c>
      <c r="C1397">
        <v>98.832267079999994</v>
      </c>
      <c r="D1397" s="2">
        <v>11.3</v>
      </c>
      <c r="E1397" s="2">
        <v>19.600000000000001</v>
      </c>
      <c r="F1397" s="2">
        <v>20.5</v>
      </c>
      <c r="G1397" s="2">
        <v>0</v>
      </c>
      <c r="H1397" s="2" t="str">
        <f>VLOOKUP(A1397,Holidays!$A$2:$B$2107,2,1)</f>
        <v>Y</v>
      </c>
      <c r="I1397" s="2" t="str">
        <f>VLOOKUP(A1397,Holidays!$A$2:$C$2107,3,1)</f>
        <v>N</v>
      </c>
    </row>
    <row r="1398" spans="1:9" x14ac:dyDescent="0.45">
      <c r="A1398" s="1">
        <v>43401</v>
      </c>
      <c r="B1398">
        <v>95624.014999999999</v>
      </c>
      <c r="C1398">
        <v>110.2151781</v>
      </c>
      <c r="D1398" s="2">
        <v>9.3000000000000007</v>
      </c>
      <c r="E1398" s="2">
        <v>15.9</v>
      </c>
      <c r="F1398" s="2">
        <v>22.8</v>
      </c>
      <c r="G1398" s="2">
        <v>0</v>
      </c>
      <c r="H1398" s="2" t="str">
        <f>VLOOKUP(A1398,Holidays!$A$2:$B$2107,2,1)</f>
        <v>Y</v>
      </c>
      <c r="I1398" s="2" t="str">
        <f>VLOOKUP(A1398,Holidays!$A$2:$C$2107,3,1)</f>
        <v>N</v>
      </c>
    </row>
    <row r="1399" spans="1:9" x14ac:dyDescent="0.45">
      <c r="A1399" s="1">
        <v>43402</v>
      </c>
      <c r="B1399">
        <v>110196.61500000001</v>
      </c>
      <c r="C1399">
        <v>142.33806010000001</v>
      </c>
      <c r="D1399" s="2">
        <v>9.1</v>
      </c>
      <c r="E1399" s="2">
        <v>17</v>
      </c>
      <c r="F1399" s="2">
        <v>25.6</v>
      </c>
      <c r="G1399" s="2">
        <v>0</v>
      </c>
      <c r="H1399" s="2" t="str">
        <f>VLOOKUP(A1399,Holidays!$A$2:$B$2107,2,1)</f>
        <v>Y</v>
      </c>
      <c r="I1399" s="2" t="str">
        <f>VLOOKUP(A1399,Holidays!$A$2:$C$2107,3,1)</f>
        <v>N</v>
      </c>
    </row>
    <row r="1400" spans="1:9" x14ac:dyDescent="0.45">
      <c r="A1400" s="1">
        <v>43403</v>
      </c>
      <c r="B1400">
        <v>113459.02499999999</v>
      </c>
      <c r="C1400">
        <v>149.08062029999999</v>
      </c>
      <c r="D1400" s="2">
        <v>8.3000000000000007</v>
      </c>
      <c r="E1400" s="2">
        <v>25.2</v>
      </c>
      <c r="F1400" s="2">
        <v>25.8</v>
      </c>
      <c r="G1400" s="2">
        <v>0</v>
      </c>
      <c r="H1400" s="2" t="str">
        <f>VLOOKUP(A1400,Holidays!$A$2:$B$2107,2,1)</f>
        <v>Y</v>
      </c>
      <c r="I1400" s="2" t="str">
        <f>VLOOKUP(A1400,Holidays!$A$2:$C$2107,3,1)</f>
        <v>N</v>
      </c>
    </row>
    <row r="1401" spans="1:9" x14ac:dyDescent="0.45">
      <c r="A1401" s="1">
        <v>43404</v>
      </c>
      <c r="B1401">
        <v>114402.745</v>
      </c>
      <c r="C1401">
        <v>121.6154276</v>
      </c>
      <c r="D1401" s="2">
        <v>13</v>
      </c>
      <c r="E1401" s="2">
        <v>19.5</v>
      </c>
      <c r="F1401" s="2">
        <v>16.7</v>
      </c>
      <c r="G1401" s="2">
        <v>0</v>
      </c>
      <c r="H1401" s="2" t="str">
        <f>VLOOKUP(A1401,Holidays!$A$2:$B$2107,2,1)</f>
        <v>Y</v>
      </c>
      <c r="I1401" s="2" t="str">
        <f>VLOOKUP(A1401,Holidays!$A$2:$C$2107,3,1)</f>
        <v>N</v>
      </c>
    </row>
    <row r="1402" spans="1:9" x14ac:dyDescent="0.45">
      <c r="A1402" s="1">
        <v>43405</v>
      </c>
      <c r="B1402">
        <v>119350.66499999999</v>
      </c>
      <c r="C1402">
        <v>101.7889277</v>
      </c>
      <c r="D1402" s="2">
        <v>12.8</v>
      </c>
      <c r="E1402" s="2">
        <v>34.299999999999997</v>
      </c>
      <c r="F1402" s="2">
        <v>14.2</v>
      </c>
      <c r="G1402" s="2">
        <v>0</v>
      </c>
      <c r="H1402" s="2" t="str">
        <f>VLOOKUP(A1402,Holidays!$A$2:$B$2107,2,1)</f>
        <v>Y</v>
      </c>
      <c r="I1402" s="2" t="str">
        <f>VLOOKUP(A1402,Holidays!$A$2:$C$2107,3,1)</f>
        <v>N</v>
      </c>
    </row>
    <row r="1403" spans="1:9" x14ac:dyDescent="0.45">
      <c r="A1403" s="1">
        <v>43406</v>
      </c>
      <c r="B1403">
        <v>116793.855</v>
      </c>
      <c r="C1403">
        <v>79.019020170000005</v>
      </c>
      <c r="D1403" s="2">
        <v>16.3</v>
      </c>
      <c r="E1403" s="2">
        <v>31.6</v>
      </c>
      <c r="F1403" s="2">
        <v>13.4</v>
      </c>
      <c r="G1403" s="2">
        <v>0</v>
      </c>
      <c r="H1403" s="2" t="str">
        <f>VLOOKUP(A1403,Holidays!$A$2:$B$2107,2,1)</f>
        <v>Y</v>
      </c>
      <c r="I1403" s="2" t="str">
        <f>VLOOKUP(A1403,Holidays!$A$2:$C$2107,3,1)</f>
        <v>N</v>
      </c>
    </row>
    <row r="1404" spans="1:9" x14ac:dyDescent="0.45">
      <c r="A1404" s="1">
        <v>43407</v>
      </c>
      <c r="B1404">
        <v>93859.285000000003</v>
      </c>
      <c r="C1404">
        <v>74.729665089999997</v>
      </c>
      <c r="D1404" s="2">
        <v>12.6</v>
      </c>
      <c r="E1404" s="2">
        <v>20.9</v>
      </c>
      <c r="F1404" s="2">
        <v>19.899999999999999</v>
      </c>
      <c r="G1404" s="2">
        <v>0.2</v>
      </c>
      <c r="H1404" s="2" t="str">
        <f>VLOOKUP(A1404,Holidays!$A$2:$B$2107,2,1)</f>
        <v>Y</v>
      </c>
      <c r="I1404" s="2" t="str">
        <f>VLOOKUP(A1404,Holidays!$A$2:$C$2107,3,1)</f>
        <v>N</v>
      </c>
    </row>
    <row r="1405" spans="1:9" x14ac:dyDescent="0.45">
      <c r="A1405" s="1">
        <v>43408</v>
      </c>
      <c r="B1405">
        <v>96432.625</v>
      </c>
      <c r="C1405">
        <v>90.901472760000004</v>
      </c>
      <c r="D1405" s="2">
        <v>9.1999999999999993</v>
      </c>
      <c r="E1405" s="2">
        <v>20.9</v>
      </c>
      <c r="F1405" s="2">
        <v>19.7</v>
      </c>
      <c r="G1405" s="2">
        <v>0</v>
      </c>
      <c r="H1405" s="2" t="str">
        <f>VLOOKUP(A1405,Holidays!$A$2:$B$2107,2,1)</f>
        <v>Y</v>
      </c>
      <c r="I1405" s="2" t="str">
        <f>VLOOKUP(A1405,Holidays!$A$2:$C$2107,3,1)</f>
        <v>N</v>
      </c>
    </row>
    <row r="1406" spans="1:9" x14ac:dyDescent="0.45">
      <c r="A1406" s="1">
        <v>43409</v>
      </c>
      <c r="B1406">
        <v>107014.075</v>
      </c>
      <c r="C1406">
        <v>104.6322227</v>
      </c>
      <c r="D1406" s="2">
        <v>14.5</v>
      </c>
      <c r="E1406" s="2">
        <v>28.6</v>
      </c>
      <c r="F1406" s="2">
        <v>15.8</v>
      </c>
      <c r="G1406" s="2">
        <v>2.8</v>
      </c>
      <c r="H1406" s="2" t="str">
        <f>VLOOKUP(A1406,Holidays!$A$2:$B$2107,2,1)</f>
        <v>Y</v>
      </c>
      <c r="I1406" s="2" t="str">
        <f>VLOOKUP(A1406,Holidays!$A$2:$C$2107,3,1)</f>
        <v>N</v>
      </c>
    </row>
    <row r="1407" spans="1:9" x14ac:dyDescent="0.45">
      <c r="A1407" s="1">
        <v>43410</v>
      </c>
      <c r="B1407">
        <v>100696.565</v>
      </c>
      <c r="C1407">
        <v>115.778035</v>
      </c>
      <c r="D1407" s="2">
        <v>16.3</v>
      </c>
      <c r="E1407" s="2">
        <v>21.4</v>
      </c>
      <c r="F1407" s="2">
        <v>7.8</v>
      </c>
      <c r="G1407" s="2">
        <v>4.4000000000000004</v>
      </c>
      <c r="H1407" s="2" t="str">
        <f>VLOOKUP(A1407,Holidays!$A$2:$B$2107,2,1)</f>
        <v>Y</v>
      </c>
      <c r="I1407" s="2" t="str">
        <f>VLOOKUP(A1407,Holidays!$A$2:$C$2107,3,1)</f>
        <v>Y</v>
      </c>
    </row>
    <row r="1408" spans="1:9" x14ac:dyDescent="0.45">
      <c r="A1408" s="1">
        <v>43411</v>
      </c>
      <c r="B1408">
        <v>106387.19500000001</v>
      </c>
      <c r="C1408">
        <v>95.569564769999999</v>
      </c>
      <c r="D1408" s="2">
        <v>11.1</v>
      </c>
      <c r="E1408" s="2">
        <v>17.2</v>
      </c>
      <c r="F1408" s="2">
        <v>18.2</v>
      </c>
      <c r="G1408" s="2">
        <v>35.799999999999997</v>
      </c>
      <c r="H1408" s="2" t="str">
        <f>VLOOKUP(A1408,Holidays!$A$2:$B$2107,2,1)</f>
        <v>Y</v>
      </c>
      <c r="I1408" s="2" t="str">
        <f>VLOOKUP(A1408,Holidays!$A$2:$C$2107,3,1)</f>
        <v>N</v>
      </c>
    </row>
    <row r="1409" spans="1:9" x14ac:dyDescent="0.45">
      <c r="A1409" s="1">
        <v>43412</v>
      </c>
      <c r="B1409">
        <v>109430.37</v>
      </c>
      <c r="C1409">
        <v>91.884517419999995</v>
      </c>
      <c r="D1409" s="2">
        <v>7.7</v>
      </c>
      <c r="E1409" s="2">
        <v>17</v>
      </c>
      <c r="F1409" s="2">
        <v>22.7</v>
      </c>
      <c r="G1409" s="2">
        <v>3</v>
      </c>
      <c r="H1409" s="2" t="str">
        <f>VLOOKUP(A1409,Holidays!$A$2:$B$2107,2,1)</f>
        <v>Y</v>
      </c>
      <c r="I1409" s="2" t="str">
        <f>VLOOKUP(A1409,Holidays!$A$2:$C$2107,3,1)</f>
        <v>N</v>
      </c>
    </row>
    <row r="1410" spans="1:9" x14ac:dyDescent="0.45">
      <c r="A1410" s="1">
        <v>43413</v>
      </c>
      <c r="B1410">
        <v>112506.95</v>
      </c>
      <c r="C1410">
        <v>101.7347422</v>
      </c>
      <c r="D1410" s="2">
        <v>8</v>
      </c>
      <c r="E1410" s="2">
        <v>20</v>
      </c>
      <c r="F1410" s="2">
        <v>14.8</v>
      </c>
      <c r="G1410" s="2">
        <v>0</v>
      </c>
      <c r="H1410" s="2" t="str">
        <f>VLOOKUP(A1410,Holidays!$A$2:$B$2107,2,1)</f>
        <v>Y</v>
      </c>
      <c r="I1410" s="2" t="str">
        <f>VLOOKUP(A1410,Holidays!$A$2:$C$2107,3,1)</f>
        <v>N</v>
      </c>
    </row>
    <row r="1411" spans="1:9" x14ac:dyDescent="0.45">
      <c r="A1411" s="1">
        <v>43414</v>
      </c>
      <c r="B1411">
        <v>100203.55</v>
      </c>
      <c r="C1411">
        <v>86.725271390000003</v>
      </c>
      <c r="D1411" s="2">
        <v>9</v>
      </c>
      <c r="E1411" s="2">
        <v>20.3</v>
      </c>
      <c r="F1411" s="2">
        <v>27.3</v>
      </c>
      <c r="G1411" s="2">
        <v>0</v>
      </c>
      <c r="H1411" s="2" t="str">
        <f>VLOOKUP(A1411,Holidays!$A$2:$B$2107,2,1)</f>
        <v>Y</v>
      </c>
      <c r="I1411" s="2" t="str">
        <f>VLOOKUP(A1411,Holidays!$A$2:$C$2107,3,1)</f>
        <v>N</v>
      </c>
    </row>
    <row r="1412" spans="1:9" x14ac:dyDescent="0.45">
      <c r="A1412" s="1">
        <v>43415</v>
      </c>
      <c r="B1412">
        <v>94602.89</v>
      </c>
      <c r="C1412">
        <v>76.672204399999998</v>
      </c>
      <c r="D1412" s="2">
        <v>9.3000000000000007</v>
      </c>
      <c r="E1412" s="2">
        <v>19.600000000000001</v>
      </c>
      <c r="F1412" s="2">
        <v>29.1</v>
      </c>
      <c r="G1412" s="2">
        <v>0.2</v>
      </c>
      <c r="H1412" s="2" t="str">
        <f>VLOOKUP(A1412,Holidays!$A$2:$B$2107,2,1)</f>
        <v>Y</v>
      </c>
      <c r="I1412" s="2" t="str">
        <f>VLOOKUP(A1412,Holidays!$A$2:$C$2107,3,1)</f>
        <v>N</v>
      </c>
    </row>
    <row r="1413" spans="1:9" x14ac:dyDescent="0.45">
      <c r="A1413" s="1">
        <v>43416</v>
      </c>
      <c r="B1413">
        <v>114159.595</v>
      </c>
      <c r="C1413">
        <v>105.4518321</v>
      </c>
      <c r="D1413" s="2">
        <v>10.9</v>
      </c>
      <c r="E1413" s="2">
        <v>30.2</v>
      </c>
      <c r="F1413" s="2">
        <v>17.5</v>
      </c>
      <c r="G1413" s="2">
        <v>0</v>
      </c>
      <c r="H1413" s="2" t="str">
        <f>VLOOKUP(A1413,Holidays!$A$2:$B$2107,2,1)</f>
        <v>Y</v>
      </c>
      <c r="I1413" s="2" t="str">
        <f>VLOOKUP(A1413,Holidays!$A$2:$C$2107,3,1)</f>
        <v>N</v>
      </c>
    </row>
    <row r="1414" spans="1:9" x14ac:dyDescent="0.45">
      <c r="A1414" s="1">
        <v>43417</v>
      </c>
      <c r="B1414">
        <v>120185.265</v>
      </c>
      <c r="C1414">
        <v>111.5733647</v>
      </c>
      <c r="D1414" s="2">
        <v>16.899999999999999</v>
      </c>
      <c r="E1414" s="2">
        <v>30.5</v>
      </c>
      <c r="F1414" s="2">
        <v>18.399999999999999</v>
      </c>
      <c r="G1414" s="2">
        <v>0</v>
      </c>
      <c r="H1414" s="2" t="str">
        <f>VLOOKUP(A1414,Holidays!$A$2:$B$2107,2,1)</f>
        <v>Y</v>
      </c>
      <c r="I1414" s="2" t="str">
        <f>VLOOKUP(A1414,Holidays!$A$2:$C$2107,3,1)</f>
        <v>N</v>
      </c>
    </row>
    <row r="1415" spans="1:9" x14ac:dyDescent="0.45">
      <c r="A1415" s="1">
        <v>43418</v>
      </c>
      <c r="B1415">
        <v>116487.58</v>
      </c>
      <c r="C1415">
        <v>119.62472270000001</v>
      </c>
      <c r="D1415" s="2">
        <v>14.8</v>
      </c>
      <c r="E1415" s="2">
        <v>17.3</v>
      </c>
      <c r="F1415" s="2">
        <v>7.2</v>
      </c>
      <c r="G1415" s="2">
        <v>6.2</v>
      </c>
      <c r="H1415" s="2" t="str">
        <f>VLOOKUP(A1415,Holidays!$A$2:$B$2107,2,1)</f>
        <v>Y</v>
      </c>
      <c r="I1415" s="2" t="str">
        <f>VLOOKUP(A1415,Holidays!$A$2:$C$2107,3,1)</f>
        <v>N</v>
      </c>
    </row>
    <row r="1416" spans="1:9" x14ac:dyDescent="0.45">
      <c r="A1416" s="1">
        <v>43419</v>
      </c>
      <c r="B1416">
        <v>108628.34</v>
      </c>
      <c r="C1416">
        <v>96.501965749999997</v>
      </c>
      <c r="D1416" s="2">
        <v>13.7</v>
      </c>
      <c r="E1416" s="2">
        <v>18.100000000000001</v>
      </c>
      <c r="F1416" s="2">
        <v>23.8</v>
      </c>
      <c r="G1416" s="2">
        <v>0.2</v>
      </c>
      <c r="H1416" s="2" t="str">
        <f>VLOOKUP(A1416,Holidays!$A$2:$B$2107,2,1)</f>
        <v>Y</v>
      </c>
      <c r="I1416" s="2" t="str">
        <f>VLOOKUP(A1416,Holidays!$A$2:$C$2107,3,1)</f>
        <v>N</v>
      </c>
    </row>
    <row r="1417" spans="1:9" x14ac:dyDescent="0.45">
      <c r="A1417" s="1">
        <v>43420</v>
      </c>
      <c r="B1417">
        <v>107405.925</v>
      </c>
      <c r="C1417">
        <v>97.767081950000005</v>
      </c>
      <c r="D1417" s="2">
        <v>8.3000000000000007</v>
      </c>
      <c r="E1417" s="2">
        <v>19</v>
      </c>
      <c r="F1417" s="2">
        <v>29.8</v>
      </c>
      <c r="G1417" s="2">
        <v>0</v>
      </c>
      <c r="H1417" s="2" t="str">
        <f>VLOOKUP(A1417,Holidays!$A$2:$B$2107,2,1)</f>
        <v>Y</v>
      </c>
      <c r="I1417" s="2" t="str">
        <f>VLOOKUP(A1417,Holidays!$A$2:$C$2107,3,1)</f>
        <v>N</v>
      </c>
    </row>
    <row r="1418" spans="1:9" x14ac:dyDescent="0.45">
      <c r="A1418" s="1">
        <v>43421</v>
      </c>
      <c r="B1418">
        <v>90498.92</v>
      </c>
      <c r="C1418">
        <v>83.267081379999993</v>
      </c>
      <c r="D1418" s="2">
        <v>9.6</v>
      </c>
      <c r="E1418" s="2">
        <v>18.100000000000001</v>
      </c>
      <c r="F1418" s="2">
        <v>29.9</v>
      </c>
      <c r="G1418" s="2">
        <v>0</v>
      </c>
      <c r="H1418" s="2" t="str">
        <f>VLOOKUP(A1418,Holidays!$A$2:$B$2107,2,1)</f>
        <v>Y</v>
      </c>
      <c r="I1418" s="2" t="str">
        <f>VLOOKUP(A1418,Holidays!$A$2:$C$2107,3,1)</f>
        <v>N</v>
      </c>
    </row>
    <row r="1419" spans="1:9" x14ac:dyDescent="0.45">
      <c r="A1419" s="1">
        <v>43422</v>
      </c>
      <c r="B1419">
        <v>92043.13</v>
      </c>
      <c r="C1419">
        <v>89.24819359</v>
      </c>
      <c r="D1419" s="2">
        <v>9.8000000000000007</v>
      </c>
      <c r="E1419" s="2">
        <v>26.6</v>
      </c>
      <c r="F1419" s="2">
        <v>30.1</v>
      </c>
      <c r="G1419" s="2">
        <v>0</v>
      </c>
      <c r="H1419" s="2" t="str">
        <f>VLOOKUP(A1419,Holidays!$A$2:$B$2107,2,1)</f>
        <v>Y</v>
      </c>
      <c r="I1419" s="2" t="str">
        <f>VLOOKUP(A1419,Holidays!$A$2:$C$2107,3,1)</f>
        <v>N</v>
      </c>
    </row>
    <row r="1420" spans="1:9" x14ac:dyDescent="0.45">
      <c r="A1420" s="1">
        <v>43423</v>
      </c>
      <c r="B1420">
        <v>113978.535</v>
      </c>
      <c r="C1420">
        <v>104.47126299999999</v>
      </c>
      <c r="D1420" s="2">
        <v>15.4</v>
      </c>
      <c r="E1420" s="2">
        <v>30.9</v>
      </c>
      <c r="F1420" s="2">
        <v>27.5</v>
      </c>
      <c r="G1420" s="2">
        <v>0</v>
      </c>
      <c r="H1420" s="2" t="str">
        <f>VLOOKUP(A1420,Holidays!$A$2:$B$2107,2,1)</f>
        <v>Y</v>
      </c>
      <c r="I1420" s="2" t="str">
        <f>VLOOKUP(A1420,Holidays!$A$2:$C$2107,3,1)</f>
        <v>N</v>
      </c>
    </row>
    <row r="1421" spans="1:9" x14ac:dyDescent="0.45">
      <c r="A1421" s="1">
        <v>43424</v>
      </c>
      <c r="B1421">
        <v>118330.625</v>
      </c>
      <c r="C1421">
        <v>110.715976</v>
      </c>
      <c r="D1421" s="2">
        <v>22.5</v>
      </c>
      <c r="E1421" s="2">
        <v>27.6</v>
      </c>
      <c r="F1421" s="2">
        <v>5.5</v>
      </c>
      <c r="G1421" s="2">
        <v>0</v>
      </c>
      <c r="H1421" s="2" t="str">
        <f>VLOOKUP(A1421,Holidays!$A$2:$B$2107,2,1)</f>
        <v>Y</v>
      </c>
      <c r="I1421" s="2" t="str">
        <f>VLOOKUP(A1421,Holidays!$A$2:$C$2107,3,1)</f>
        <v>N</v>
      </c>
    </row>
    <row r="1422" spans="1:9" x14ac:dyDescent="0.45">
      <c r="A1422" s="1">
        <v>43425</v>
      </c>
      <c r="B1422">
        <v>106618.19500000001</v>
      </c>
      <c r="C1422">
        <v>100.42825310000001</v>
      </c>
      <c r="D1422" s="2">
        <v>12.3</v>
      </c>
      <c r="E1422" s="2">
        <v>23.2</v>
      </c>
      <c r="F1422" s="2">
        <v>24.2</v>
      </c>
      <c r="G1422" s="2">
        <v>24.2</v>
      </c>
      <c r="H1422" s="2" t="str">
        <f>VLOOKUP(A1422,Holidays!$A$2:$B$2107,2,1)</f>
        <v>Y</v>
      </c>
      <c r="I1422" s="2" t="str">
        <f>VLOOKUP(A1422,Holidays!$A$2:$C$2107,3,1)</f>
        <v>N</v>
      </c>
    </row>
    <row r="1423" spans="1:9" x14ac:dyDescent="0.45">
      <c r="A1423" s="1">
        <v>43426</v>
      </c>
      <c r="B1423">
        <v>107278.83</v>
      </c>
      <c r="C1423">
        <v>77.208902539999997</v>
      </c>
      <c r="D1423" s="2">
        <v>9.6999999999999993</v>
      </c>
      <c r="E1423" s="2">
        <v>16.399999999999999</v>
      </c>
      <c r="F1423" s="2">
        <v>20.3</v>
      </c>
      <c r="G1423" s="2">
        <v>6.2</v>
      </c>
      <c r="H1423" s="2" t="str">
        <f>VLOOKUP(A1423,Holidays!$A$2:$B$2107,2,1)</f>
        <v>Y</v>
      </c>
      <c r="I1423" s="2" t="str">
        <f>VLOOKUP(A1423,Holidays!$A$2:$C$2107,3,1)</f>
        <v>N</v>
      </c>
    </row>
    <row r="1424" spans="1:9" x14ac:dyDescent="0.45">
      <c r="A1424" s="1">
        <v>43427</v>
      </c>
      <c r="B1424">
        <v>113582.6</v>
      </c>
      <c r="C1424">
        <v>93.528906469999995</v>
      </c>
      <c r="D1424" s="2">
        <v>11</v>
      </c>
      <c r="E1424" s="2">
        <v>14.5</v>
      </c>
      <c r="F1424" s="2">
        <v>3.5</v>
      </c>
      <c r="G1424" s="2">
        <v>6</v>
      </c>
      <c r="H1424" s="2" t="str">
        <f>VLOOKUP(A1424,Holidays!$A$2:$B$2107,2,1)</f>
        <v>Y</v>
      </c>
      <c r="I1424" s="2" t="str">
        <f>VLOOKUP(A1424,Holidays!$A$2:$C$2107,3,1)</f>
        <v>N</v>
      </c>
    </row>
    <row r="1425" spans="1:9" x14ac:dyDescent="0.45">
      <c r="A1425" s="1">
        <v>43428</v>
      </c>
      <c r="B1425">
        <v>101352.12</v>
      </c>
      <c r="C1425">
        <v>110.5056773</v>
      </c>
      <c r="D1425" s="2">
        <v>11.1</v>
      </c>
      <c r="E1425" s="2">
        <v>16.899999999999999</v>
      </c>
      <c r="F1425" s="2">
        <v>15.8</v>
      </c>
      <c r="G1425" s="2">
        <v>7</v>
      </c>
      <c r="H1425" s="2" t="str">
        <f>VLOOKUP(A1425,Holidays!$A$2:$B$2107,2,1)</f>
        <v>Y</v>
      </c>
      <c r="I1425" s="2" t="str">
        <f>VLOOKUP(A1425,Holidays!$A$2:$C$2107,3,1)</f>
        <v>N</v>
      </c>
    </row>
    <row r="1426" spans="1:9" x14ac:dyDescent="0.45">
      <c r="A1426" s="1">
        <v>43429</v>
      </c>
      <c r="B1426">
        <v>96240.41</v>
      </c>
      <c r="C1426">
        <v>116.4628124</v>
      </c>
      <c r="D1426" s="2">
        <v>12.7</v>
      </c>
      <c r="E1426" s="2">
        <v>18.8</v>
      </c>
      <c r="F1426" s="2">
        <v>20.5</v>
      </c>
      <c r="G1426" s="2">
        <v>0.8</v>
      </c>
      <c r="H1426" s="2" t="str">
        <f>VLOOKUP(A1426,Holidays!$A$2:$B$2107,2,1)</f>
        <v>Y</v>
      </c>
      <c r="I1426" s="2" t="str">
        <f>VLOOKUP(A1426,Holidays!$A$2:$C$2107,3,1)</f>
        <v>N</v>
      </c>
    </row>
    <row r="1427" spans="1:9" x14ac:dyDescent="0.45">
      <c r="A1427" s="1">
        <v>43430</v>
      </c>
      <c r="B1427">
        <v>110547.605</v>
      </c>
      <c r="C1427">
        <v>112.20926300000001</v>
      </c>
      <c r="D1427" s="2">
        <v>11.9</v>
      </c>
      <c r="E1427" s="2">
        <v>18.600000000000001</v>
      </c>
      <c r="F1427" s="2">
        <v>25.5</v>
      </c>
      <c r="G1427" s="2">
        <v>0</v>
      </c>
      <c r="H1427" s="2" t="str">
        <f>VLOOKUP(A1427,Holidays!$A$2:$B$2107,2,1)</f>
        <v>Y</v>
      </c>
      <c r="I1427" s="2" t="str">
        <f>VLOOKUP(A1427,Holidays!$A$2:$C$2107,3,1)</f>
        <v>N</v>
      </c>
    </row>
    <row r="1428" spans="1:9" x14ac:dyDescent="0.45">
      <c r="A1428" s="1">
        <v>43431</v>
      </c>
      <c r="B1428">
        <v>109706.42</v>
      </c>
      <c r="C1428">
        <v>109.76169760000001</v>
      </c>
      <c r="D1428" s="2">
        <v>14.4</v>
      </c>
      <c r="E1428" s="2">
        <v>20</v>
      </c>
      <c r="F1428" s="2">
        <v>23.3</v>
      </c>
      <c r="G1428" s="2">
        <v>0.2</v>
      </c>
      <c r="H1428" s="2" t="str">
        <f>VLOOKUP(A1428,Holidays!$A$2:$B$2107,2,1)</f>
        <v>Y</v>
      </c>
      <c r="I1428" s="2" t="str">
        <f>VLOOKUP(A1428,Holidays!$A$2:$C$2107,3,1)</f>
        <v>N</v>
      </c>
    </row>
    <row r="1429" spans="1:9" x14ac:dyDescent="0.45">
      <c r="A1429" s="1">
        <v>43432</v>
      </c>
      <c r="B1429">
        <v>106684.825</v>
      </c>
      <c r="C1429">
        <v>98.178259999999995</v>
      </c>
      <c r="D1429" s="2">
        <v>14.4</v>
      </c>
      <c r="E1429" s="2">
        <v>20.8</v>
      </c>
      <c r="F1429" s="2">
        <v>18</v>
      </c>
      <c r="G1429" s="2">
        <v>0</v>
      </c>
      <c r="H1429" s="2" t="str">
        <f>VLOOKUP(A1429,Holidays!$A$2:$B$2107,2,1)</f>
        <v>Y</v>
      </c>
      <c r="I1429" s="2" t="str">
        <f>VLOOKUP(A1429,Holidays!$A$2:$C$2107,3,1)</f>
        <v>N</v>
      </c>
    </row>
    <row r="1430" spans="1:9" x14ac:dyDescent="0.45">
      <c r="A1430" s="1">
        <v>43433</v>
      </c>
      <c r="B1430">
        <v>112586.74</v>
      </c>
      <c r="C1430">
        <v>116.3293321</v>
      </c>
      <c r="D1430" s="2">
        <v>13.9</v>
      </c>
      <c r="E1430" s="2">
        <v>18.7</v>
      </c>
      <c r="F1430" s="2">
        <v>21.1</v>
      </c>
      <c r="G1430" s="2">
        <v>0.6</v>
      </c>
      <c r="H1430" s="2" t="str">
        <f>VLOOKUP(A1430,Holidays!$A$2:$B$2107,2,1)</f>
        <v>Y</v>
      </c>
      <c r="I1430" s="2" t="str">
        <f>VLOOKUP(A1430,Holidays!$A$2:$C$2107,3,1)</f>
        <v>N</v>
      </c>
    </row>
    <row r="1431" spans="1:9" x14ac:dyDescent="0.45">
      <c r="A1431" s="1">
        <v>43434</v>
      </c>
      <c r="B1431">
        <v>110031.82</v>
      </c>
      <c r="C1431">
        <v>106.2941526</v>
      </c>
      <c r="D1431" s="2">
        <v>14.7</v>
      </c>
      <c r="E1431" s="2">
        <v>20.8</v>
      </c>
      <c r="F1431" s="2">
        <v>28</v>
      </c>
      <c r="G1431" s="2">
        <v>0</v>
      </c>
      <c r="H1431" s="2" t="str">
        <f>VLOOKUP(A1431,Holidays!$A$2:$B$2107,2,1)</f>
        <v>Y</v>
      </c>
      <c r="I1431" s="2" t="str">
        <f>VLOOKUP(A1431,Holidays!$A$2:$C$2107,3,1)</f>
        <v>N</v>
      </c>
    </row>
    <row r="1432" spans="1:9" x14ac:dyDescent="0.45">
      <c r="A1432" s="1">
        <v>43435</v>
      </c>
      <c r="B1432">
        <v>100725.24</v>
      </c>
      <c r="C1432">
        <v>71.104740500000005</v>
      </c>
      <c r="D1432" s="2">
        <v>10.3</v>
      </c>
      <c r="E1432" s="2">
        <v>31.7</v>
      </c>
      <c r="F1432" s="2">
        <v>30.8</v>
      </c>
      <c r="G1432" s="2">
        <v>0</v>
      </c>
      <c r="H1432" s="2" t="str">
        <f>VLOOKUP(A1432,Holidays!$A$2:$B$2107,2,1)</f>
        <v>Y</v>
      </c>
      <c r="I1432" s="2" t="str">
        <f>VLOOKUP(A1432,Holidays!$A$2:$C$2107,3,1)</f>
        <v>N</v>
      </c>
    </row>
    <row r="1433" spans="1:9" x14ac:dyDescent="0.45">
      <c r="A1433" s="1">
        <v>43436</v>
      </c>
      <c r="B1433">
        <v>88903.065000000002</v>
      </c>
      <c r="C1433">
        <v>24.455382029999999</v>
      </c>
      <c r="D1433" s="2">
        <v>12.2</v>
      </c>
      <c r="E1433" s="2">
        <v>19.5</v>
      </c>
      <c r="F1433" s="2">
        <v>18.899999999999999</v>
      </c>
      <c r="G1433" s="2">
        <v>10.4</v>
      </c>
      <c r="H1433" s="2" t="str">
        <f>VLOOKUP(A1433,Holidays!$A$2:$B$2107,2,1)</f>
        <v>Y</v>
      </c>
      <c r="I1433" s="2" t="str">
        <f>VLOOKUP(A1433,Holidays!$A$2:$C$2107,3,1)</f>
        <v>N</v>
      </c>
    </row>
    <row r="1434" spans="1:9" x14ac:dyDescent="0.45">
      <c r="A1434" s="1">
        <v>43437</v>
      </c>
      <c r="B1434">
        <v>107666.30499999999</v>
      </c>
      <c r="C1434">
        <v>71.126198709999997</v>
      </c>
      <c r="D1434" s="2">
        <v>13.3</v>
      </c>
      <c r="E1434" s="2">
        <v>23.6</v>
      </c>
      <c r="F1434" s="2">
        <v>13.4</v>
      </c>
      <c r="G1434" s="2">
        <v>0</v>
      </c>
      <c r="H1434" s="2" t="str">
        <f>VLOOKUP(A1434,Holidays!$A$2:$B$2107,2,1)</f>
        <v>Y</v>
      </c>
      <c r="I1434" s="2" t="str">
        <f>VLOOKUP(A1434,Holidays!$A$2:$C$2107,3,1)</f>
        <v>N</v>
      </c>
    </row>
    <row r="1435" spans="1:9" x14ac:dyDescent="0.45">
      <c r="A1435" s="1">
        <v>43438</v>
      </c>
      <c r="B1435">
        <v>111718.075</v>
      </c>
      <c r="C1435">
        <v>92.945548959999996</v>
      </c>
      <c r="D1435" s="2">
        <v>13.4</v>
      </c>
      <c r="E1435" s="2">
        <v>20.5</v>
      </c>
      <c r="F1435" s="2">
        <v>28.2</v>
      </c>
      <c r="G1435" s="2">
        <v>0</v>
      </c>
      <c r="H1435" s="2" t="str">
        <f>VLOOKUP(A1435,Holidays!$A$2:$B$2107,2,1)</f>
        <v>Y</v>
      </c>
      <c r="I1435" s="2" t="str">
        <f>VLOOKUP(A1435,Holidays!$A$2:$C$2107,3,1)</f>
        <v>N</v>
      </c>
    </row>
    <row r="1436" spans="1:9" x14ac:dyDescent="0.45">
      <c r="A1436" s="1">
        <v>43439</v>
      </c>
      <c r="B1436">
        <v>114225.12</v>
      </c>
      <c r="C1436">
        <v>86.814999110000002</v>
      </c>
      <c r="D1436" s="2">
        <v>13.4</v>
      </c>
      <c r="E1436" s="2">
        <v>25.2</v>
      </c>
      <c r="F1436" s="2">
        <v>31.1</v>
      </c>
      <c r="G1436" s="2">
        <v>0</v>
      </c>
      <c r="H1436" s="2" t="str">
        <f>VLOOKUP(A1436,Holidays!$A$2:$B$2107,2,1)</f>
        <v>Y</v>
      </c>
      <c r="I1436" s="2" t="str">
        <f>VLOOKUP(A1436,Holidays!$A$2:$C$2107,3,1)</f>
        <v>N</v>
      </c>
    </row>
    <row r="1437" spans="1:9" x14ac:dyDescent="0.45">
      <c r="A1437" s="1">
        <v>43440</v>
      </c>
      <c r="B1437">
        <v>135452.26</v>
      </c>
      <c r="C1437">
        <v>125.30810839999999</v>
      </c>
      <c r="D1437" s="2">
        <v>14.5</v>
      </c>
      <c r="E1437" s="2">
        <v>35.5</v>
      </c>
      <c r="F1437" s="2">
        <v>31.3</v>
      </c>
      <c r="G1437" s="2">
        <v>0</v>
      </c>
      <c r="H1437" s="2" t="str">
        <f>VLOOKUP(A1437,Holidays!$A$2:$B$2107,2,1)</f>
        <v>Y</v>
      </c>
      <c r="I1437" s="2" t="str">
        <f>VLOOKUP(A1437,Holidays!$A$2:$C$2107,3,1)</f>
        <v>N</v>
      </c>
    </row>
    <row r="1438" spans="1:9" x14ac:dyDescent="0.45">
      <c r="A1438" s="1">
        <v>43441</v>
      </c>
      <c r="B1438">
        <v>156648.405</v>
      </c>
      <c r="C1438">
        <v>177.86181680000001</v>
      </c>
      <c r="D1438" s="2">
        <v>25.1</v>
      </c>
      <c r="E1438" s="2">
        <v>38</v>
      </c>
      <c r="F1438" s="2">
        <v>27.1</v>
      </c>
      <c r="G1438" s="2">
        <v>0</v>
      </c>
      <c r="H1438" s="2" t="str">
        <f>VLOOKUP(A1438,Holidays!$A$2:$B$2107,2,1)</f>
        <v>Y</v>
      </c>
      <c r="I1438" s="2" t="str">
        <f>VLOOKUP(A1438,Holidays!$A$2:$C$2107,3,1)</f>
        <v>N</v>
      </c>
    </row>
    <row r="1439" spans="1:9" x14ac:dyDescent="0.45">
      <c r="A1439" s="1">
        <v>43442</v>
      </c>
      <c r="B1439">
        <v>121237.47</v>
      </c>
      <c r="C1439">
        <v>113.36703300000001</v>
      </c>
      <c r="D1439" s="2">
        <v>22.7</v>
      </c>
      <c r="E1439" s="2">
        <v>30.3</v>
      </c>
      <c r="F1439" s="2">
        <v>11</v>
      </c>
      <c r="G1439" s="2">
        <v>0</v>
      </c>
      <c r="H1439" s="2" t="str">
        <f>VLOOKUP(A1439,Holidays!$A$2:$B$2107,2,1)</f>
        <v>Y</v>
      </c>
      <c r="I1439" s="2" t="str">
        <f>VLOOKUP(A1439,Holidays!$A$2:$C$2107,3,1)</f>
        <v>N</v>
      </c>
    </row>
    <row r="1440" spans="1:9" x14ac:dyDescent="0.45">
      <c r="A1440" s="1">
        <v>43443</v>
      </c>
      <c r="B1440">
        <v>102161.11500000001</v>
      </c>
      <c r="C1440">
        <v>80.188787649999995</v>
      </c>
      <c r="D1440" s="2">
        <v>16</v>
      </c>
      <c r="E1440" s="2">
        <v>20.100000000000001</v>
      </c>
      <c r="F1440" s="2">
        <v>11.8</v>
      </c>
      <c r="G1440" s="2">
        <v>1.2</v>
      </c>
      <c r="H1440" s="2" t="str">
        <f>VLOOKUP(A1440,Holidays!$A$2:$B$2107,2,1)</f>
        <v>Y</v>
      </c>
      <c r="I1440" s="2" t="str">
        <f>VLOOKUP(A1440,Holidays!$A$2:$C$2107,3,1)</f>
        <v>N</v>
      </c>
    </row>
    <row r="1441" spans="1:9" x14ac:dyDescent="0.45">
      <c r="A1441" s="1">
        <v>43444</v>
      </c>
      <c r="B1441">
        <v>110803.765</v>
      </c>
      <c r="C1441">
        <v>95.225723139999999</v>
      </c>
      <c r="D1441" s="2">
        <v>15.8</v>
      </c>
      <c r="E1441" s="2">
        <v>20.6</v>
      </c>
      <c r="F1441" s="2">
        <v>28.5</v>
      </c>
      <c r="G1441" s="2">
        <v>0</v>
      </c>
      <c r="H1441" s="2" t="str">
        <f>VLOOKUP(A1441,Holidays!$A$2:$B$2107,2,1)</f>
        <v>Y</v>
      </c>
      <c r="I1441" s="2" t="str">
        <f>VLOOKUP(A1441,Holidays!$A$2:$C$2107,3,1)</f>
        <v>N</v>
      </c>
    </row>
    <row r="1442" spans="1:9" x14ac:dyDescent="0.45">
      <c r="A1442" s="1">
        <v>43445</v>
      </c>
      <c r="B1442">
        <v>114413.785</v>
      </c>
      <c r="C1442">
        <v>118.6444142</v>
      </c>
      <c r="D1442" s="2">
        <v>13</v>
      </c>
      <c r="E1442" s="2">
        <v>23.6</v>
      </c>
      <c r="F1442" s="2">
        <v>31.6</v>
      </c>
      <c r="G1442" s="2">
        <v>0</v>
      </c>
      <c r="H1442" s="2" t="str">
        <f>VLOOKUP(A1442,Holidays!$A$2:$B$2107,2,1)</f>
        <v>Y</v>
      </c>
      <c r="I1442" s="2" t="str">
        <f>VLOOKUP(A1442,Holidays!$A$2:$C$2107,3,1)</f>
        <v>N</v>
      </c>
    </row>
    <row r="1443" spans="1:9" x14ac:dyDescent="0.45">
      <c r="A1443" s="1">
        <v>43446</v>
      </c>
      <c r="B1443">
        <v>129715.465</v>
      </c>
      <c r="C1443">
        <v>199.184327</v>
      </c>
      <c r="D1443" s="2">
        <v>16</v>
      </c>
      <c r="E1443" s="2">
        <v>33.6</v>
      </c>
      <c r="F1443" s="2">
        <v>29.4</v>
      </c>
      <c r="G1443" s="2">
        <v>0</v>
      </c>
      <c r="H1443" s="2" t="str">
        <f>VLOOKUP(A1443,Holidays!$A$2:$B$2107,2,1)</f>
        <v>Y</v>
      </c>
      <c r="I1443" s="2" t="str">
        <f>VLOOKUP(A1443,Holidays!$A$2:$C$2107,3,1)</f>
        <v>N</v>
      </c>
    </row>
    <row r="1444" spans="1:9" x14ac:dyDescent="0.45">
      <c r="A1444" s="1">
        <v>43447</v>
      </c>
      <c r="B1444">
        <v>114986.33</v>
      </c>
      <c r="C1444">
        <v>101.8597212</v>
      </c>
      <c r="D1444" s="2">
        <v>16.899999999999999</v>
      </c>
      <c r="E1444" s="2">
        <v>21.1</v>
      </c>
      <c r="F1444" s="2">
        <v>6</v>
      </c>
      <c r="G1444" s="2">
        <v>16.2</v>
      </c>
      <c r="H1444" s="2" t="str">
        <f>VLOOKUP(A1444,Holidays!$A$2:$B$2107,2,1)</f>
        <v>Y</v>
      </c>
      <c r="I1444" s="2" t="str">
        <f>VLOOKUP(A1444,Holidays!$A$2:$C$2107,3,1)</f>
        <v>N</v>
      </c>
    </row>
    <row r="1445" spans="1:9" x14ac:dyDescent="0.45">
      <c r="A1445" s="1">
        <v>43448</v>
      </c>
      <c r="B1445">
        <v>110025.465</v>
      </c>
      <c r="C1445">
        <v>92.958029269999997</v>
      </c>
      <c r="D1445" s="2">
        <v>16.399999999999999</v>
      </c>
      <c r="E1445" s="2">
        <v>22.7</v>
      </c>
      <c r="F1445" s="2">
        <v>13.7</v>
      </c>
      <c r="G1445" s="2">
        <v>16.600000000000001</v>
      </c>
      <c r="H1445" s="2" t="str">
        <f>VLOOKUP(A1445,Holidays!$A$2:$B$2107,2,1)</f>
        <v>Y</v>
      </c>
      <c r="I1445" s="2" t="str">
        <f>VLOOKUP(A1445,Holidays!$A$2:$C$2107,3,1)</f>
        <v>N</v>
      </c>
    </row>
    <row r="1446" spans="1:9" x14ac:dyDescent="0.45">
      <c r="A1446" s="1">
        <v>43449</v>
      </c>
      <c r="B1446">
        <v>102577.145</v>
      </c>
      <c r="C1446">
        <v>101.632949</v>
      </c>
      <c r="D1446" s="2">
        <v>17.2</v>
      </c>
      <c r="E1446" s="2">
        <v>24.8</v>
      </c>
      <c r="F1446" s="2">
        <v>17.5</v>
      </c>
      <c r="G1446" s="2">
        <v>41.2</v>
      </c>
      <c r="H1446" s="2" t="str">
        <f>VLOOKUP(A1446,Holidays!$A$2:$B$2107,2,1)</f>
        <v>Y</v>
      </c>
      <c r="I1446" s="2" t="str">
        <f>VLOOKUP(A1446,Holidays!$A$2:$C$2107,3,1)</f>
        <v>N</v>
      </c>
    </row>
    <row r="1447" spans="1:9" x14ac:dyDescent="0.45">
      <c r="A1447" s="1">
        <v>43450</v>
      </c>
      <c r="B1447">
        <v>99110.774999999994</v>
      </c>
      <c r="C1447">
        <v>101.4492327</v>
      </c>
      <c r="D1447" s="2">
        <v>15.8</v>
      </c>
      <c r="E1447" s="2">
        <v>23.5</v>
      </c>
      <c r="F1447" s="2">
        <v>16.3</v>
      </c>
      <c r="G1447" s="2">
        <v>3.8</v>
      </c>
      <c r="H1447" s="2" t="str">
        <f>VLOOKUP(A1447,Holidays!$A$2:$B$2107,2,1)</f>
        <v>Y</v>
      </c>
      <c r="I1447" s="2" t="str">
        <f>VLOOKUP(A1447,Holidays!$A$2:$C$2107,3,1)</f>
        <v>N</v>
      </c>
    </row>
    <row r="1448" spans="1:9" x14ac:dyDescent="0.45">
      <c r="A1448" s="1">
        <v>43451</v>
      </c>
      <c r="B1448">
        <v>112804.4</v>
      </c>
      <c r="C1448">
        <v>101.40388849999999</v>
      </c>
      <c r="D1448" s="2">
        <v>15.6</v>
      </c>
      <c r="E1448" s="2">
        <v>21.8</v>
      </c>
      <c r="F1448" s="2">
        <v>23.2</v>
      </c>
      <c r="G1448" s="2">
        <v>2</v>
      </c>
      <c r="H1448" s="2" t="str">
        <f>VLOOKUP(A1448,Holidays!$A$2:$B$2107,2,1)</f>
        <v>Y</v>
      </c>
      <c r="I1448" s="2" t="str">
        <f>VLOOKUP(A1448,Holidays!$A$2:$C$2107,3,1)</f>
        <v>N</v>
      </c>
    </row>
    <row r="1449" spans="1:9" x14ac:dyDescent="0.45">
      <c r="A1449" s="1">
        <v>43452</v>
      </c>
      <c r="B1449">
        <v>113485.105</v>
      </c>
      <c r="C1449">
        <v>104.7225562</v>
      </c>
      <c r="D1449" s="2">
        <v>16.7</v>
      </c>
      <c r="E1449" s="2">
        <v>20.8</v>
      </c>
      <c r="F1449" s="2">
        <v>21.1</v>
      </c>
      <c r="G1449" s="2">
        <v>0</v>
      </c>
      <c r="H1449" s="2" t="str">
        <f>VLOOKUP(A1449,Holidays!$A$2:$B$2107,2,1)</f>
        <v>Y</v>
      </c>
      <c r="I1449" s="2" t="str">
        <f>VLOOKUP(A1449,Holidays!$A$2:$C$2107,3,1)</f>
        <v>N</v>
      </c>
    </row>
    <row r="1450" spans="1:9" x14ac:dyDescent="0.45">
      <c r="A1450" s="1">
        <v>43453</v>
      </c>
      <c r="B1450">
        <v>119907.245</v>
      </c>
      <c r="C1450">
        <v>117.70772239999999</v>
      </c>
      <c r="D1450" s="2">
        <v>16.8</v>
      </c>
      <c r="E1450" s="2">
        <v>26.9</v>
      </c>
      <c r="F1450" s="2">
        <v>16.600000000000001</v>
      </c>
      <c r="G1450" s="2">
        <v>0</v>
      </c>
      <c r="H1450" s="2" t="str">
        <f>VLOOKUP(A1450,Holidays!$A$2:$B$2107,2,1)</f>
        <v>Y</v>
      </c>
      <c r="I1450" s="2" t="str">
        <f>VLOOKUP(A1450,Holidays!$A$2:$C$2107,3,1)</f>
        <v>N</v>
      </c>
    </row>
    <row r="1451" spans="1:9" x14ac:dyDescent="0.45">
      <c r="A1451" s="1">
        <v>43454</v>
      </c>
      <c r="B1451">
        <v>111880.52499999999</v>
      </c>
      <c r="C1451">
        <v>75.555462689999999</v>
      </c>
      <c r="D1451" s="2">
        <v>16.899999999999999</v>
      </c>
      <c r="E1451" s="2">
        <v>21.2</v>
      </c>
      <c r="F1451" s="2">
        <v>14.8</v>
      </c>
      <c r="G1451" s="2">
        <v>0</v>
      </c>
      <c r="H1451" s="2" t="str">
        <f>VLOOKUP(A1451,Holidays!$A$2:$B$2107,2,1)</f>
        <v>Y</v>
      </c>
      <c r="I1451" s="2" t="str">
        <f>VLOOKUP(A1451,Holidays!$A$2:$C$2107,3,1)</f>
        <v>N</v>
      </c>
    </row>
    <row r="1452" spans="1:9" x14ac:dyDescent="0.45">
      <c r="A1452" s="1">
        <v>43455</v>
      </c>
      <c r="B1452">
        <v>102075.925</v>
      </c>
      <c r="C1452">
        <v>65.932437969999995</v>
      </c>
      <c r="D1452" s="2">
        <v>15.4</v>
      </c>
      <c r="E1452" s="2">
        <v>20.9</v>
      </c>
      <c r="F1452" s="2">
        <v>9.6</v>
      </c>
      <c r="G1452" s="2">
        <v>1</v>
      </c>
      <c r="H1452" s="2" t="str">
        <f>VLOOKUP(A1452,Holidays!$A$2:$B$2107,2,1)</f>
        <v>N</v>
      </c>
      <c r="I1452" s="2" t="str">
        <f>VLOOKUP(A1452,Holidays!$A$2:$C$2107,3,1)</f>
        <v>N</v>
      </c>
    </row>
    <row r="1453" spans="1:9" x14ac:dyDescent="0.45">
      <c r="A1453" s="1">
        <v>43456</v>
      </c>
      <c r="B1453">
        <v>92725.74</v>
      </c>
      <c r="C1453">
        <v>69.250457960000006</v>
      </c>
      <c r="D1453" s="2">
        <v>14.1</v>
      </c>
      <c r="E1453" s="2">
        <v>19.100000000000001</v>
      </c>
      <c r="F1453" s="2">
        <v>27.8</v>
      </c>
      <c r="G1453" s="2">
        <v>9.8000000000000007</v>
      </c>
      <c r="H1453" s="2" t="str">
        <f>VLOOKUP(A1453,Holidays!$A$2:$B$2107,2,1)</f>
        <v>N</v>
      </c>
      <c r="I1453" s="2" t="str">
        <f>VLOOKUP(A1453,Holidays!$A$2:$C$2107,3,1)</f>
        <v>N</v>
      </c>
    </row>
    <row r="1454" spans="1:9" x14ac:dyDescent="0.45">
      <c r="A1454" s="1">
        <v>43457</v>
      </c>
      <c r="B1454">
        <v>94938.395000000004</v>
      </c>
      <c r="C1454">
        <v>65.612248190000003</v>
      </c>
      <c r="D1454" s="2">
        <v>11.5</v>
      </c>
      <c r="E1454" s="2">
        <v>26.9</v>
      </c>
      <c r="F1454" s="2">
        <v>32.299999999999997</v>
      </c>
      <c r="G1454" s="2">
        <v>0</v>
      </c>
      <c r="H1454" s="2" t="str">
        <f>VLOOKUP(A1454,Holidays!$A$2:$B$2107,2,1)</f>
        <v>N</v>
      </c>
      <c r="I1454" s="2" t="str">
        <f>VLOOKUP(A1454,Holidays!$A$2:$C$2107,3,1)</f>
        <v>N</v>
      </c>
    </row>
    <row r="1455" spans="1:9" x14ac:dyDescent="0.45">
      <c r="A1455" s="1">
        <v>43458</v>
      </c>
      <c r="B1455">
        <v>112358.815</v>
      </c>
      <c r="C1455">
        <v>96.817179359999997</v>
      </c>
      <c r="D1455" s="2">
        <v>14.3</v>
      </c>
      <c r="E1455" s="2">
        <v>34.200000000000003</v>
      </c>
      <c r="F1455" s="2">
        <v>32.299999999999997</v>
      </c>
      <c r="G1455" s="2">
        <v>0</v>
      </c>
      <c r="H1455" s="2" t="str">
        <f>VLOOKUP(A1455,Holidays!$A$2:$B$2107,2,1)</f>
        <v>N</v>
      </c>
      <c r="I1455" s="2" t="str">
        <f>VLOOKUP(A1455,Holidays!$A$2:$C$2107,3,1)</f>
        <v>N</v>
      </c>
    </row>
    <row r="1456" spans="1:9" x14ac:dyDescent="0.45">
      <c r="A1456" s="1">
        <v>43459</v>
      </c>
      <c r="B1456">
        <v>98191.654999999999</v>
      </c>
      <c r="C1456">
        <v>55.238545299999998</v>
      </c>
      <c r="D1456" s="2">
        <v>15.8</v>
      </c>
      <c r="E1456" s="2">
        <v>23.9</v>
      </c>
      <c r="F1456" s="2">
        <v>32.200000000000003</v>
      </c>
      <c r="G1456" s="2">
        <v>0</v>
      </c>
      <c r="H1456" s="2" t="str">
        <f>VLOOKUP(A1456,Holidays!$A$2:$B$2107,2,1)</f>
        <v>N</v>
      </c>
      <c r="I1456" s="2" t="str">
        <f>VLOOKUP(A1456,Holidays!$A$2:$C$2107,3,1)</f>
        <v>Y</v>
      </c>
    </row>
    <row r="1457" spans="1:9" x14ac:dyDescent="0.45">
      <c r="A1457" s="1">
        <v>43460</v>
      </c>
      <c r="B1457">
        <v>100017.19500000001</v>
      </c>
      <c r="C1457">
        <v>77.578354779999998</v>
      </c>
      <c r="D1457" s="2">
        <v>13.3</v>
      </c>
      <c r="E1457" s="2">
        <v>23.8</v>
      </c>
      <c r="F1457" s="2">
        <v>32.299999999999997</v>
      </c>
      <c r="G1457" s="2">
        <v>0</v>
      </c>
      <c r="H1457" s="2" t="str">
        <f>VLOOKUP(A1457,Holidays!$A$2:$B$2107,2,1)</f>
        <v>N</v>
      </c>
      <c r="I1457" s="2" t="str">
        <f>VLOOKUP(A1457,Holidays!$A$2:$C$2107,3,1)</f>
        <v>Y</v>
      </c>
    </row>
    <row r="1458" spans="1:9" x14ac:dyDescent="0.45">
      <c r="A1458" s="1">
        <v>43461</v>
      </c>
      <c r="B1458">
        <v>129749.14</v>
      </c>
      <c r="C1458">
        <v>102.3108963</v>
      </c>
      <c r="D1458" s="2">
        <v>16.2</v>
      </c>
      <c r="E1458" s="2">
        <v>37.4</v>
      </c>
      <c r="F1458" s="2">
        <v>29.3</v>
      </c>
      <c r="G1458" s="2">
        <v>0</v>
      </c>
      <c r="H1458" s="2" t="str">
        <f>VLOOKUP(A1458,Holidays!$A$2:$B$2107,2,1)</f>
        <v>N</v>
      </c>
      <c r="I1458" s="2" t="str">
        <f>VLOOKUP(A1458,Holidays!$A$2:$C$2107,3,1)</f>
        <v>N</v>
      </c>
    </row>
    <row r="1459" spans="1:9" x14ac:dyDescent="0.45">
      <c r="A1459" s="1">
        <v>43462</v>
      </c>
      <c r="B1459">
        <v>133831.375</v>
      </c>
      <c r="C1459">
        <v>121.46071910000001</v>
      </c>
      <c r="D1459" s="2">
        <v>21.9</v>
      </c>
      <c r="E1459" s="2">
        <v>36.4</v>
      </c>
      <c r="F1459" s="2">
        <v>19.100000000000001</v>
      </c>
      <c r="G1459" s="2">
        <v>0</v>
      </c>
      <c r="H1459" s="2" t="str">
        <f>VLOOKUP(A1459,Holidays!$A$2:$B$2107,2,1)</f>
        <v>N</v>
      </c>
      <c r="I1459" s="2" t="str">
        <f>VLOOKUP(A1459,Holidays!$A$2:$C$2107,3,1)</f>
        <v>N</v>
      </c>
    </row>
    <row r="1460" spans="1:9" x14ac:dyDescent="0.45">
      <c r="A1460" s="1">
        <v>43463</v>
      </c>
      <c r="B1460">
        <v>108290.11</v>
      </c>
      <c r="C1460">
        <v>91.7235266</v>
      </c>
      <c r="D1460" s="2">
        <v>21</v>
      </c>
      <c r="E1460" s="2">
        <v>23.9</v>
      </c>
      <c r="F1460" s="2">
        <v>5.7</v>
      </c>
      <c r="G1460" s="2">
        <v>1.2</v>
      </c>
      <c r="H1460" s="2" t="str">
        <f>VLOOKUP(A1460,Holidays!$A$2:$B$2107,2,1)</f>
        <v>N</v>
      </c>
      <c r="I1460" s="2" t="str">
        <f>VLOOKUP(A1460,Holidays!$A$2:$C$2107,3,1)</f>
        <v>N</v>
      </c>
    </row>
    <row r="1461" spans="1:9" x14ac:dyDescent="0.45">
      <c r="A1461" s="1">
        <v>43464</v>
      </c>
      <c r="B1461">
        <v>99613.865000000005</v>
      </c>
      <c r="C1461">
        <v>84.166495269999999</v>
      </c>
      <c r="D1461" s="2">
        <v>18.2</v>
      </c>
      <c r="E1461" s="2">
        <v>22.7</v>
      </c>
      <c r="F1461" s="2">
        <v>9.9</v>
      </c>
      <c r="G1461" s="2">
        <v>0.6</v>
      </c>
      <c r="H1461" s="2" t="str">
        <f>VLOOKUP(A1461,Holidays!$A$2:$B$2107,2,1)</f>
        <v>N</v>
      </c>
      <c r="I1461" s="2" t="str">
        <f>VLOOKUP(A1461,Holidays!$A$2:$C$2107,3,1)</f>
        <v>N</v>
      </c>
    </row>
    <row r="1462" spans="1:9" x14ac:dyDescent="0.45">
      <c r="A1462" s="1">
        <v>43465</v>
      </c>
      <c r="B1462">
        <v>103381.91499999999</v>
      </c>
      <c r="C1462">
        <v>84.897997059999994</v>
      </c>
      <c r="D1462" s="2">
        <v>17.3</v>
      </c>
      <c r="E1462" s="2">
        <v>23.5</v>
      </c>
      <c r="F1462" s="2">
        <v>31.3</v>
      </c>
      <c r="G1462" s="2">
        <v>0.8</v>
      </c>
      <c r="H1462" s="2" t="str">
        <f>VLOOKUP(A1462,Holidays!$A$2:$B$2107,2,1)</f>
        <v>N</v>
      </c>
      <c r="I1462" s="2" t="str">
        <f>VLOOKUP(A1462,Holidays!$A$2:$C$2107,3,1)</f>
        <v>N</v>
      </c>
    </row>
    <row r="1463" spans="1:9" x14ac:dyDescent="0.45">
      <c r="A1463" s="1">
        <v>43466</v>
      </c>
      <c r="B1463">
        <v>98933.06</v>
      </c>
      <c r="C1463">
        <v>78.560978969999994</v>
      </c>
      <c r="D1463" s="2">
        <v>15.5</v>
      </c>
      <c r="E1463" s="2">
        <v>26.2</v>
      </c>
      <c r="F1463" s="2">
        <v>31.7</v>
      </c>
      <c r="G1463" s="2">
        <v>0</v>
      </c>
      <c r="H1463" s="2" t="str">
        <f>VLOOKUP(A1463,Holidays!$A$2:$B$2107,2,1)</f>
        <v>N</v>
      </c>
      <c r="I1463" s="2" t="str">
        <f>VLOOKUP(A1463,Holidays!$A$2:$C$2107,3,1)</f>
        <v>Y</v>
      </c>
    </row>
    <row r="1464" spans="1:9" x14ac:dyDescent="0.45">
      <c r="A1464" s="1">
        <v>43467</v>
      </c>
      <c r="B1464">
        <v>106470.675</v>
      </c>
      <c r="C1464">
        <v>92.202011200000001</v>
      </c>
      <c r="D1464" s="2">
        <v>18.399999999999999</v>
      </c>
      <c r="E1464" s="2">
        <v>22.2</v>
      </c>
      <c r="F1464" s="2">
        <v>26.3</v>
      </c>
      <c r="G1464" s="2">
        <v>0</v>
      </c>
      <c r="H1464" s="2" t="str">
        <f>VLOOKUP(A1464,Holidays!$A$2:$B$2107,2,1)</f>
        <v>N</v>
      </c>
      <c r="I1464" s="2" t="str">
        <f>VLOOKUP(A1464,Holidays!$A$2:$C$2107,3,1)</f>
        <v>N</v>
      </c>
    </row>
    <row r="1465" spans="1:9" x14ac:dyDescent="0.45">
      <c r="A1465" s="1">
        <v>43468</v>
      </c>
      <c r="B1465">
        <v>118789.605</v>
      </c>
      <c r="C1465">
        <v>127.38030259999999</v>
      </c>
      <c r="D1465" s="2">
        <v>15.9</v>
      </c>
      <c r="E1465" s="2">
        <v>29.5</v>
      </c>
      <c r="F1465" s="2">
        <v>27.6</v>
      </c>
      <c r="G1465" s="2">
        <v>0</v>
      </c>
      <c r="H1465" s="2" t="str">
        <f>VLOOKUP(A1465,Holidays!$A$2:$B$2107,2,1)</f>
        <v>N</v>
      </c>
      <c r="I1465" s="2" t="str">
        <f>VLOOKUP(A1465,Holidays!$A$2:$C$2107,3,1)</f>
        <v>N</v>
      </c>
    </row>
    <row r="1466" spans="1:9" x14ac:dyDescent="0.45">
      <c r="A1466" s="1">
        <v>43469</v>
      </c>
      <c r="B1466">
        <v>133288.46</v>
      </c>
      <c r="C1466">
        <v>121.0209967</v>
      </c>
      <c r="D1466" s="2">
        <v>18</v>
      </c>
      <c r="E1466" s="2">
        <v>42.6</v>
      </c>
      <c r="F1466" s="2">
        <v>27.4</v>
      </c>
      <c r="G1466" s="2">
        <v>0</v>
      </c>
      <c r="H1466" s="2" t="str">
        <f>VLOOKUP(A1466,Holidays!$A$2:$B$2107,2,1)</f>
        <v>N</v>
      </c>
      <c r="I1466" s="2" t="str">
        <f>VLOOKUP(A1466,Holidays!$A$2:$C$2107,3,1)</f>
        <v>N</v>
      </c>
    </row>
    <row r="1467" spans="1:9" x14ac:dyDescent="0.45">
      <c r="A1467" s="1">
        <v>43470</v>
      </c>
      <c r="B1467">
        <v>97262.79</v>
      </c>
      <c r="C1467">
        <v>83.493520489999995</v>
      </c>
      <c r="D1467" s="2">
        <v>17.399999999999999</v>
      </c>
      <c r="E1467" s="2">
        <v>21.2</v>
      </c>
      <c r="F1467" s="2">
        <v>12.9</v>
      </c>
      <c r="G1467" s="2">
        <v>0.4</v>
      </c>
      <c r="H1467" s="2" t="str">
        <f>VLOOKUP(A1467,Holidays!$A$2:$B$2107,2,1)</f>
        <v>N</v>
      </c>
      <c r="I1467" s="2" t="str">
        <f>VLOOKUP(A1467,Holidays!$A$2:$C$2107,3,1)</f>
        <v>N</v>
      </c>
    </row>
    <row r="1468" spans="1:9" x14ac:dyDescent="0.45">
      <c r="A1468" s="1">
        <v>43471</v>
      </c>
      <c r="B1468">
        <v>93606.214999999997</v>
      </c>
      <c r="C1468">
        <v>65.766406979999999</v>
      </c>
      <c r="D1468" s="2">
        <v>14.6</v>
      </c>
      <c r="E1468" s="2">
        <v>22.1</v>
      </c>
      <c r="F1468" s="2">
        <v>30.9</v>
      </c>
      <c r="G1468" s="2">
        <v>1.4</v>
      </c>
      <c r="H1468" s="2" t="str">
        <f>VLOOKUP(A1468,Holidays!$A$2:$B$2107,2,1)</f>
        <v>N</v>
      </c>
      <c r="I1468" s="2" t="str">
        <f>VLOOKUP(A1468,Holidays!$A$2:$C$2107,3,1)</f>
        <v>N</v>
      </c>
    </row>
    <row r="1469" spans="1:9" x14ac:dyDescent="0.45">
      <c r="A1469" s="1">
        <v>43472</v>
      </c>
      <c r="B1469">
        <v>109874.9</v>
      </c>
      <c r="C1469">
        <v>85.07795745</v>
      </c>
      <c r="D1469" s="2">
        <v>17.100000000000001</v>
      </c>
      <c r="E1469" s="2">
        <v>23.1</v>
      </c>
      <c r="F1469" s="2">
        <v>30.2</v>
      </c>
      <c r="G1469" s="2">
        <v>0</v>
      </c>
      <c r="H1469" s="2" t="str">
        <f>VLOOKUP(A1469,Holidays!$A$2:$B$2107,2,1)</f>
        <v>N</v>
      </c>
      <c r="I1469" s="2" t="str">
        <f>VLOOKUP(A1469,Holidays!$A$2:$C$2107,3,1)</f>
        <v>N</v>
      </c>
    </row>
    <row r="1470" spans="1:9" x14ac:dyDescent="0.45">
      <c r="A1470" s="1">
        <v>43473</v>
      </c>
      <c r="B1470">
        <v>113446.1</v>
      </c>
      <c r="C1470">
        <v>104.9077815</v>
      </c>
      <c r="D1470" s="2">
        <v>16.7</v>
      </c>
      <c r="E1470" s="2">
        <v>24.1</v>
      </c>
      <c r="F1470" s="2">
        <v>28.9</v>
      </c>
      <c r="G1470" s="2">
        <v>0</v>
      </c>
      <c r="H1470" s="2" t="str">
        <f>VLOOKUP(A1470,Holidays!$A$2:$B$2107,2,1)</f>
        <v>N</v>
      </c>
      <c r="I1470" s="2" t="str">
        <f>VLOOKUP(A1470,Holidays!$A$2:$C$2107,3,1)</f>
        <v>N</v>
      </c>
    </row>
    <row r="1471" spans="1:9" x14ac:dyDescent="0.45">
      <c r="A1471" s="1">
        <v>43474</v>
      </c>
      <c r="B1471">
        <v>105483.435</v>
      </c>
      <c r="C1471">
        <v>91.851546720000002</v>
      </c>
      <c r="D1471" s="2">
        <v>16.100000000000001</v>
      </c>
      <c r="E1471" s="2">
        <v>20.5</v>
      </c>
      <c r="F1471" s="2">
        <v>28.4</v>
      </c>
      <c r="G1471" s="2">
        <v>0.6</v>
      </c>
      <c r="H1471" s="2" t="str">
        <f>VLOOKUP(A1471,Holidays!$A$2:$B$2107,2,1)</f>
        <v>N</v>
      </c>
      <c r="I1471" s="2" t="str">
        <f>VLOOKUP(A1471,Holidays!$A$2:$C$2107,3,1)</f>
        <v>N</v>
      </c>
    </row>
    <row r="1472" spans="1:9" x14ac:dyDescent="0.45">
      <c r="A1472" s="1">
        <v>43475</v>
      </c>
      <c r="B1472">
        <v>108078.69500000001</v>
      </c>
      <c r="C1472">
        <v>96.413742569999997</v>
      </c>
      <c r="D1472" s="2">
        <v>13.5</v>
      </c>
      <c r="E1472" s="2">
        <v>21.4</v>
      </c>
      <c r="F1472" s="2">
        <v>25.8</v>
      </c>
      <c r="G1472" s="2">
        <v>0</v>
      </c>
      <c r="H1472" s="2" t="str">
        <f>VLOOKUP(A1472,Holidays!$A$2:$B$2107,2,1)</f>
        <v>N</v>
      </c>
      <c r="I1472" s="2" t="str">
        <f>VLOOKUP(A1472,Holidays!$A$2:$C$2107,3,1)</f>
        <v>N</v>
      </c>
    </row>
    <row r="1473" spans="1:9" x14ac:dyDescent="0.45">
      <c r="A1473" s="1">
        <v>43476</v>
      </c>
      <c r="B1473">
        <v>119728.63499999999</v>
      </c>
      <c r="C1473">
        <v>116.3056708</v>
      </c>
      <c r="D1473" s="2">
        <v>12.9</v>
      </c>
      <c r="E1473" s="2">
        <v>30.4</v>
      </c>
      <c r="F1473" s="2">
        <v>31.5</v>
      </c>
      <c r="G1473" s="2">
        <v>0</v>
      </c>
      <c r="H1473" s="2" t="str">
        <f>VLOOKUP(A1473,Holidays!$A$2:$B$2107,2,1)</f>
        <v>N</v>
      </c>
      <c r="I1473" s="2" t="str">
        <f>VLOOKUP(A1473,Holidays!$A$2:$C$2107,3,1)</f>
        <v>N</v>
      </c>
    </row>
    <row r="1474" spans="1:9" x14ac:dyDescent="0.45">
      <c r="A1474" s="1">
        <v>43477</v>
      </c>
      <c r="B1474">
        <v>108628.96</v>
      </c>
      <c r="C1474">
        <v>88.996642809999997</v>
      </c>
      <c r="D1474" s="2">
        <v>17.7</v>
      </c>
      <c r="E1474" s="2">
        <v>24.7</v>
      </c>
      <c r="F1474" s="2">
        <v>28.6</v>
      </c>
      <c r="G1474" s="2">
        <v>0</v>
      </c>
      <c r="H1474" s="2" t="str">
        <f>VLOOKUP(A1474,Holidays!$A$2:$B$2107,2,1)</f>
        <v>N</v>
      </c>
      <c r="I1474" s="2" t="str">
        <f>VLOOKUP(A1474,Holidays!$A$2:$C$2107,3,1)</f>
        <v>N</v>
      </c>
    </row>
    <row r="1475" spans="1:9" x14ac:dyDescent="0.45">
      <c r="A1475" s="1">
        <v>43478</v>
      </c>
      <c r="B1475">
        <v>101853.24</v>
      </c>
      <c r="C1475">
        <v>75.273023879999997</v>
      </c>
      <c r="D1475" s="2">
        <v>14.4</v>
      </c>
      <c r="E1475" s="2">
        <v>30.5</v>
      </c>
      <c r="F1475" s="2">
        <v>31.3</v>
      </c>
      <c r="G1475" s="2">
        <v>0</v>
      </c>
      <c r="H1475" s="2" t="str">
        <f>VLOOKUP(A1475,Holidays!$A$2:$B$2107,2,1)</f>
        <v>N</v>
      </c>
      <c r="I1475" s="2" t="str">
        <f>VLOOKUP(A1475,Holidays!$A$2:$C$2107,3,1)</f>
        <v>N</v>
      </c>
    </row>
    <row r="1476" spans="1:9" x14ac:dyDescent="0.45">
      <c r="A1476" s="1">
        <v>43479</v>
      </c>
      <c r="B1476">
        <v>147070.535</v>
      </c>
      <c r="C1476">
        <v>188.19764950000001</v>
      </c>
      <c r="D1476" s="2">
        <v>18.7</v>
      </c>
      <c r="E1476" s="2">
        <v>32.299999999999997</v>
      </c>
      <c r="F1476" s="2">
        <v>31.1</v>
      </c>
      <c r="G1476" s="2">
        <v>0</v>
      </c>
      <c r="H1476" s="2" t="str">
        <f>VLOOKUP(A1476,Holidays!$A$2:$B$2107,2,1)</f>
        <v>N</v>
      </c>
      <c r="I1476" s="2" t="str">
        <f>VLOOKUP(A1476,Holidays!$A$2:$C$2107,3,1)</f>
        <v>N</v>
      </c>
    </row>
    <row r="1477" spans="1:9" x14ac:dyDescent="0.45">
      <c r="A1477" s="1">
        <v>43480</v>
      </c>
      <c r="B1477">
        <v>152496.245</v>
      </c>
      <c r="C1477">
        <v>222.43841900000001</v>
      </c>
      <c r="D1477" s="2">
        <v>19.399999999999999</v>
      </c>
      <c r="E1477" s="2">
        <v>30.4</v>
      </c>
      <c r="F1477" s="2">
        <v>22.3</v>
      </c>
      <c r="G1477" s="2">
        <v>0</v>
      </c>
      <c r="H1477" s="2" t="str">
        <f>VLOOKUP(A1477,Holidays!$A$2:$B$2107,2,1)</f>
        <v>N</v>
      </c>
      <c r="I1477" s="2" t="str">
        <f>VLOOKUP(A1477,Holidays!$A$2:$C$2107,3,1)</f>
        <v>N</v>
      </c>
    </row>
    <row r="1478" spans="1:9" x14ac:dyDescent="0.45">
      <c r="A1478" s="1">
        <v>43481</v>
      </c>
      <c r="B1478">
        <v>136971.755</v>
      </c>
      <c r="C1478">
        <v>178.07967540000001</v>
      </c>
      <c r="D1478" s="2">
        <v>19.8</v>
      </c>
      <c r="E1478" s="2">
        <v>26.7</v>
      </c>
      <c r="F1478" s="2">
        <v>17.5</v>
      </c>
      <c r="G1478" s="2">
        <v>0</v>
      </c>
      <c r="H1478" s="2" t="str">
        <f>VLOOKUP(A1478,Holidays!$A$2:$B$2107,2,1)</f>
        <v>N</v>
      </c>
      <c r="I1478" s="2" t="str">
        <f>VLOOKUP(A1478,Holidays!$A$2:$C$2107,3,1)</f>
        <v>N</v>
      </c>
    </row>
    <row r="1479" spans="1:9" x14ac:dyDescent="0.45">
      <c r="A1479" s="1">
        <v>43482</v>
      </c>
      <c r="B1479">
        <v>145211.49</v>
      </c>
      <c r="C1479">
        <v>175.35289299999999</v>
      </c>
      <c r="D1479" s="2">
        <v>20.7</v>
      </c>
      <c r="E1479" s="2">
        <v>32.5</v>
      </c>
      <c r="F1479" s="2">
        <v>6</v>
      </c>
      <c r="G1479" s="2">
        <v>0</v>
      </c>
      <c r="H1479" s="2" t="str">
        <f>VLOOKUP(A1479,Holidays!$A$2:$B$2107,2,1)</f>
        <v>N</v>
      </c>
      <c r="I1479" s="2" t="str">
        <f>VLOOKUP(A1479,Holidays!$A$2:$C$2107,3,1)</f>
        <v>N</v>
      </c>
    </row>
    <row r="1480" spans="1:9" x14ac:dyDescent="0.45">
      <c r="A1480" s="1">
        <v>43483</v>
      </c>
      <c r="B1480">
        <v>134898.21</v>
      </c>
      <c r="C1480">
        <v>137.8500262</v>
      </c>
      <c r="D1480" s="2">
        <v>22.3</v>
      </c>
      <c r="E1480" s="2">
        <v>28.7</v>
      </c>
      <c r="F1480" s="2">
        <v>2.6</v>
      </c>
      <c r="G1480" s="2">
        <v>0.2</v>
      </c>
      <c r="H1480" s="2" t="str">
        <f>VLOOKUP(A1480,Holidays!$A$2:$B$2107,2,1)</f>
        <v>N</v>
      </c>
      <c r="I1480" s="2" t="str">
        <f>VLOOKUP(A1480,Holidays!$A$2:$C$2107,3,1)</f>
        <v>N</v>
      </c>
    </row>
    <row r="1481" spans="1:9" x14ac:dyDescent="0.45">
      <c r="A1481" s="1">
        <v>43484</v>
      </c>
      <c r="B1481">
        <v>101692.45</v>
      </c>
      <c r="C1481">
        <v>80.786252489999995</v>
      </c>
      <c r="D1481" s="2">
        <v>16.5</v>
      </c>
      <c r="E1481" s="2">
        <v>23.5</v>
      </c>
      <c r="F1481" s="2">
        <v>30.2</v>
      </c>
      <c r="G1481" s="2">
        <v>2</v>
      </c>
      <c r="H1481" s="2" t="str">
        <f>VLOOKUP(A1481,Holidays!$A$2:$B$2107,2,1)</f>
        <v>N</v>
      </c>
      <c r="I1481" s="2" t="str">
        <f>VLOOKUP(A1481,Holidays!$A$2:$C$2107,3,1)</f>
        <v>N</v>
      </c>
    </row>
    <row r="1482" spans="1:9" x14ac:dyDescent="0.45">
      <c r="A1482" s="1">
        <v>43485</v>
      </c>
      <c r="B1482">
        <v>102283.13</v>
      </c>
      <c r="C1482">
        <v>86.607900729999997</v>
      </c>
      <c r="D1482" s="2">
        <v>15.2</v>
      </c>
      <c r="E1482" s="2">
        <v>22.9</v>
      </c>
      <c r="F1482" s="2">
        <v>29.2</v>
      </c>
      <c r="G1482" s="2">
        <v>0</v>
      </c>
      <c r="H1482" s="2" t="str">
        <f>VLOOKUP(A1482,Holidays!$A$2:$B$2107,2,1)</f>
        <v>N</v>
      </c>
      <c r="I1482" s="2" t="str">
        <f>VLOOKUP(A1482,Holidays!$A$2:$C$2107,3,1)</f>
        <v>N</v>
      </c>
    </row>
    <row r="1483" spans="1:9" x14ac:dyDescent="0.45">
      <c r="A1483" s="1">
        <v>43486</v>
      </c>
      <c r="B1483">
        <v>130517.97</v>
      </c>
      <c r="C1483">
        <v>176.68995000000001</v>
      </c>
      <c r="D1483" s="2">
        <v>18.399999999999999</v>
      </c>
      <c r="E1483" s="2">
        <v>25.1</v>
      </c>
      <c r="F1483" s="2">
        <v>28.2</v>
      </c>
      <c r="G1483" s="2">
        <v>0</v>
      </c>
      <c r="H1483" s="2" t="str">
        <f>VLOOKUP(A1483,Holidays!$A$2:$B$2107,2,1)</f>
        <v>N</v>
      </c>
      <c r="I1483" s="2" t="str">
        <f>VLOOKUP(A1483,Holidays!$A$2:$C$2107,3,1)</f>
        <v>N</v>
      </c>
    </row>
    <row r="1484" spans="1:9" x14ac:dyDescent="0.45">
      <c r="A1484" s="1">
        <v>43487</v>
      </c>
      <c r="B1484">
        <v>141444.78</v>
      </c>
      <c r="C1484">
        <v>278.77774349999999</v>
      </c>
      <c r="D1484" s="2">
        <v>19</v>
      </c>
      <c r="E1484" s="2">
        <v>26.8</v>
      </c>
      <c r="F1484" s="2">
        <v>29.3</v>
      </c>
      <c r="G1484" s="2">
        <v>0</v>
      </c>
      <c r="H1484" s="2" t="str">
        <f>VLOOKUP(A1484,Holidays!$A$2:$B$2107,2,1)</f>
        <v>N</v>
      </c>
      <c r="I1484" s="2" t="str">
        <f>VLOOKUP(A1484,Holidays!$A$2:$C$2107,3,1)</f>
        <v>N</v>
      </c>
    </row>
    <row r="1485" spans="1:9" x14ac:dyDescent="0.45">
      <c r="A1485" s="1">
        <v>43488</v>
      </c>
      <c r="B1485">
        <v>125501.15</v>
      </c>
      <c r="C1485">
        <v>154.47314489999999</v>
      </c>
      <c r="D1485" s="2">
        <v>18.7</v>
      </c>
      <c r="E1485" s="2">
        <v>23.9</v>
      </c>
      <c r="F1485" s="2">
        <v>27.4</v>
      </c>
      <c r="G1485" s="2">
        <v>0</v>
      </c>
      <c r="H1485" s="2" t="str">
        <f>VLOOKUP(A1485,Holidays!$A$2:$B$2107,2,1)</f>
        <v>N</v>
      </c>
      <c r="I1485" s="2" t="str">
        <f>VLOOKUP(A1485,Holidays!$A$2:$C$2107,3,1)</f>
        <v>N</v>
      </c>
    </row>
    <row r="1486" spans="1:9" x14ac:dyDescent="0.45">
      <c r="A1486" s="1">
        <v>43489</v>
      </c>
      <c r="B1486">
        <v>155891.345</v>
      </c>
      <c r="C1486">
        <v>4549.6451049999996</v>
      </c>
      <c r="D1486" s="2">
        <v>17.3</v>
      </c>
      <c r="E1486" s="2">
        <v>40.799999999999997</v>
      </c>
      <c r="F1486" s="2">
        <v>30</v>
      </c>
      <c r="G1486" s="2">
        <v>0</v>
      </c>
      <c r="H1486" s="2" t="str">
        <f>VLOOKUP(A1486,Holidays!$A$2:$B$2107,2,1)</f>
        <v>N</v>
      </c>
      <c r="I1486" s="2" t="str">
        <f>VLOOKUP(A1486,Holidays!$A$2:$C$2107,3,1)</f>
        <v>N</v>
      </c>
    </row>
    <row r="1487" spans="1:9" x14ac:dyDescent="0.45">
      <c r="A1487" s="1">
        <v>43490</v>
      </c>
      <c r="B1487">
        <v>168894.845</v>
      </c>
      <c r="C1487">
        <v>906.43723230000001</v>
      </c>
      <c r="D1487" s="2">
        <v>21.1</v>
      </c>
      <c r="E1487" s="2">
        <v>42.8</v>
      </c>
      <c r="F1487" s="2">
        <v>25.3</v>
      </c>
      <c r="G1487" s="2">
        <v>0</v>
      </c>
      <c r="H1487" s="2" t="str">
        <f>VLOOKUP(A1487,Holidays!$A$2:$B$2107,2,1)</f>
        <v>N</v>
      </c>
      <c r="I1487" s="2" t="str">
        <f>VLOOKUP(A1487,Holidays!$A$2:$C$2107,3,1)</f>
        <v>N</v>
      </c>
    </row>
    <row r="1488" spans="1:9" x14ac:dyDescent="0.45">
      <c r="A1488" s="1">
        <v>43491</v>
      </c>
      <c r="B1488">
        <v>114818.66499999999</v>
      </c>
      <c r="C1488">
        <v>163.73362520000001</v>
      </c>
      <c r="D1488" s="2">
        <v>19.899999999999999</v>
      </c>
      <c r="E1488" s="2">
        <v>26.1</v>
      </c>
      <c r="F1488" s="2">
        <v>27.7</v>
      </c>
      <c r="G1488" s="2">
        <v>0</v>
      </c>
      <c r="H1488" s="2" t="str">
        <f>VLOOKUP(A1488,Holidays!$A$2:$B$2107,2,1)</f>
        <v>N</v>
      </c>
      <c r="I1488" s="2" t="str">
        <f>VLOOKUP(A1488,Holidays!$A$2:$C$2107,3,1)</f>
        <v>Y</v>
      </c>
    </row>
    <row r="1489" spans="1:9" x14ac:dyDescent="0.45">
      <c r="A1489" s="1">
        <v>43492</v>
      </c>
      <c r="B1489">
        <v>99801.574999999997</v>
      </c>
      <c r="C1489">
        <v>86.396224309999994</v>
      </c>
      <c r="D1489" s="2">
        <v>18.399999999999999</v>
      </c>
      <c r="E1489" s="2">
        <v>27.8</v>
      </c>
      <c r="F1489" s="2">
        <v>21.1</v>
      </c>
      <c r="G1489" s="2">
        <v>0</v>
      </c>
      <c r="H1489" s="2" t="str">
        <f>VLOOKUP(A1489,Holidays!$A$2:$B$2107,2,1)</f>
        <v>N</v>
      </c>
      <c r="I1489" s="2" t="str">
        <f>VLOOKUP(A1489,Holidays!$A$2:$C$2107,3,1)</f>
        <v>N</v>
      </c>
    </row>
    <row r="1490" spans="1:9" x14ac:dyDescent="0.45">
      <c r="A1490" s="1">
        <v>43493</v>
      </c>
      <c r="B1490">
        <v>112374.63</v>
      </c>
      <c r="C1490">
        <v>150.94848010000001</v>
      </c>
      <c r="D1490" s="2">
        <v>15.5</v>
      </c>
      <c r="E1490" s="2">
        <v>34.5</v>
      </c>
      <c r="F1490" s="2">
        <v>29.4</v>
      </c>
      <c r="G1490" s="2">
        <v>0</v>
      </c>
      <c r="H1490" s="2" t="str">
        <f>VLOOKUP(A1490,Holidays!$A$2:$B$2107,2,1)</f>
        <v>N</v>
      </c>
      <c r="I1490" s="2" t="str">
        <f>VLOOKUP(A1490,Holidays!$A$2:$C$2107,3,1)</f>
        <v>Y</v>
      </c>
    </row>
    <row r="1491" spans="1:9" x14ac:dyDescent="0.45">
      <c r="A1491" s="1">
        <v>43494</v>
      </c>
      <c r="B1491">
        <v>138455.45499999999</v>
      </c>
      <c r="C1491">
        <v>183.4002093</v>
      </c>
      <c r="D1491" s="2">
        <v>17.5</v>
      </c>
      <c r="E1491" s="2">
        <v>36.799999999999997</v>
      </c>
      <c r="F1491" s="2">
        <v>27.7</v>
      </c>
      <c r="G1491" s="2">
        <v>0</v>
      </c>
      <c r="H1491" s="2" t="str">
        <f>VLOOKUP(A1491,Holidays!$A$2:$B$2107,2,1)</f>
        <v>N</v>
      </c>
      <c r="I1491" s="2" t="str">
        <f>VLOOKUP(A1491,Holidays!$A$2:$C$2107,3,1)</f>
        <v>N</v>
      </c>
    </row>
    <row r="1492" spans="1:9" x14ac:dyDescent="0.45">
      <c r="A1492" s="1">
        <v>43495</v>
      </c>
      <c r="B1492">
        <v>142113.375</v>
      </c>
      <c r="C1492">
        <v>188.74241950000001</v>
      </c>
      <c r="D1492" s="2">
        <v>18</v>
      </c>
      <c r="E1492" s="2">
        <v>38.1</v>
      </c>
      <c r="F1492" s="2">
        <v>19.899999999999999</v>
      </c>
      <c r="G1492" s="2">
        <v>0</v>
      </c>
      <c r="H1492" s="2" t="str">
        <f>VLOOKUP(A1492,Holidays!$A$2:$B$2107,2,1)</f>
        <v>N</v>
      </c>
      <c r="I1492" s="2" t="str">
        <f>VLOOKUP(A1492,Holidays!$A$2:$C$2107,3,1)</f>
        <v>N</v>
      </c>
    </row>
    <row r="1493" spans="1:9" x14ac:dyDescent="0.45">
      <c r="A1493" s="1">
        <v>43496</v>
      </c>
      <c r="B1493">
        <v>110277.21</v>
      </c>
      <c r="C1493">
        <v>107.5212334</v>
      </c>
      <c r="D1493" s="2">
        <v>17.2</v>
      </c>
      <c r="E1493" s="2">
        <v>21.5</v>
      </c>
      <c r="F1493" s="2">
        <v>27.8</v>
      </c>
      <c r="G1493" s="2">
        <v>6.6</v>
      </c>
      <c r="H1493" s="2" t="str">
        <f>VLOOKUP(A1493,Holidays!$A$2:$B$2107,2,1)</f>
        <v>Y</v>
      </c>
      <c r="I1493" s="2" t="str">
        <f>VLOOKUP(A1493,Holidays!$A$2:$C$2107,3,1)</f>
        <v>N</v>
      </c>
    </row>
    <row r="1494" spans="1:9" x14ac:dyDescent="0.45">
      <c r="A1494" s="1">
        <v>43497</v>
      </c>
      <c r="B1494">
        <v>104422.79</v>
      </c>
      <c r="C1494">
        <v>117.68273910000001</v>
      </c>
      <c r="D1494" s="2">
        <v>12.6</v>
      </c>
      <c r="E1494" s="2">
        <v>24.2</v>
      </c>
      <c r="F1494" s="2">
        <v>28.8</v>
      </c>
      <c r="G1494" s="2">
        <v>0</v>
      </c>
      <c r="H1494" s="2" t="str">
        <f>VLOOKUP(A1494,Holidays!$A$2:$B$2107,2,1)</f>
        <v>Y</v>
      </c>
      <c r="I1494" s="2" t="str">
        <f>VLOOKUP(A1494,Holidays!$A$2:$C$2107,3,1)</f>
        <v>N</v>
      </c>
    </row>
    <row r="1495" spans="1:9" x14ac:dyDescent="0.45">
      <c r="A1495" s="1">
        <v>43498</v>
      </c>
      <c r="B1495">
        <v>124749.065</v>
      </c>
      <c r="C1495">
        <v>240.9545239</v>
      </c>
      <c r="D1495" s="2">
        <v>15</v>
      </c>
      <c r="E1495" s="2">
        <v>34.4</v>
      </c>
      <c r="F1495" s="2">
        <v>27.5</v>
      </c>
      <c r="G1495" s="2">
        <v>0</v>
      </c>
      <c r="H1495" s="2" t="str">
        <f>VLOOKUP(A1495,Holidays!$A$2:$B$2107,2,1)</f>
        <v>Y</v>
      </c>
      <c r="I1495" s="2" t="str">
        <f>VLOOKUP(A1495,Holidays!$A$2:$C$2107,3,1)</f>
        <v>N</v>
      </c>
    </row>
    <row r="1496" spans="1:9" x14ac:dyDescent="0.45">
      <c r="A1496" s="1">
        <v>43499</v>
      </c>
      <c r="B1496">
        <v>133287.58499999999</v>
      </c>
      <c r="C1496">
        <v>186.91763220000001</v>
      </c>
      <c r="D1496" s="2">
        <v>19.100000000000001</v>
      </c>
      <c r="E1496" s="2">
        <v>38.200000000000003</v>
      </c>
      <c r="F1496" s="2">
        <v>26.1</v>
      </c>
      <c r="G1496" s="2">
        <v>0</v>
      </c>
      <c r="H1496" s="2" t="str">
        <f>VLOOKUP(A1496,Holidays!$A$2:$B$2107,2,1)</f>
        <v>Y</v>
      </c>
      <c r="I1496" s="2" t="str">
        <f>VLOOKUP(A1496,Holidays!$A$2:$C$2107,3,1)</f>
        <v>N</v>
      </c>
    </row>
    <row r="1497" spans="1:9" x14ac:dyDescent="0.45">
      <c r="A1497" s="1">
        <v>43500</v>
      </c>
      <c r="B1497">
        <v>119168.96000000001</v>
      </c>
      <c r="C1497">
        <v>110.1512267</v>
      </c>
      <c r="D1497" s="2">
        <v>20</v>
      </c>
      <c r="E1497" s="2">
        <v>22.7</v>
      </c>
      <c r="F1497" s="2">
        <v>9.3000000000000007</v>
      </c>
      <c r="G1497" s="2">
        <v>0</v>
      </c>
      <c r="H1497" s="2" t="str">
        <f>VLOOKUP(A1497,Holidays!$A$2:$B$2107,2,1)</f>
        <v>Y</v>
      </c>
      <c r="I1497" s="2" t="str">
        <f>VLOOKUP(A1497,Holidays!$A$2:$C$2107,3,1)</f>
        <v>N</v>
      </c>
    </row>
    <row r="1498" spans="1:9" x14ac:dyDescent="0.45">
      <c r="A1498" s="1">
        <v>43501</v>
      </c>
      <c r="B1498">
        <v>119702.045</v>
      </c>
      <c r="C1498">
        <v>92.701339529999998</v>
      </c>
      <c r="D1498" s="2">
        <v>17.7</v>
      </c>
      <c r="E1498" s="2">
        <v>26.9</v>
      </c>
      <c r="F1498" s="2">
        <v>14.6</v>
      </c>
      <c r="G1498" s="2">
        <v>0</v>
      </c>
      <c r="H1498" s="2" t="str">
        <f>VLOOKUP(A1498,Holidays!$A$2:$B$2107,2,1)</f>
        <v>Y</v>
      </c>
      <c r="I1498" s="2" t="str">
        <f>VLOOKUP(A1498,Holidays!$A$2:$C$2107,3,1)</f>
        <v>N</v>
      </c>
    </row>
    <row r="1499" spans="1:9" x14ac:dyDescent="0.45">
      <c r="A1499" s="1">
        <v>43502</v>
      </c>
      <c r="B1499">
        <v>140497.815</v>
      </c>
      <c r="C1499">
        <v>143.45505610000001</v>
      </c>
      <c r="D1499" s="2">
        <v>18.5</v>
      </c>
      <c r="E1499" s="2">
        <v>34.700000000000003</v>
      </c>
      <c r="F1499" s="2">
        <v>22.8</v>
      </c>
      <c r="G1499" s="2">
        <v>0</v>
      </c>
      <c r="H1499" s="2" t="str">
        <f>VLOOKUP(A1499,Holidays!$A$2:$B$2107,2,1)</f>
        <v>Y</v>
      </c>
      <c r="I1499" s="2" t="str">
        <f>VLOOKUP(A1499,Holidays!$A$2:$C$2107,3,1)</f>
        <v>N</v>
      </c>
    </row>
    <row r="1500" spans="1:9" x14ac:dyDescent="0.45">
      <c r="A1500" s="1">
        <v>43503</v>
      </c>
      <c r="B1500">
        <v>141593.54500000001</v>
      </c>
      <c r="C1500">
        <v>147.68790949999999</v>
      </c>
      <c r="D1500" s="2">
        <v>20.7</v>
      </c>
      <c r="E1500" s="2">
        <v>28.3</v>
      </c>
      <c r="F1500" s="2">
        <v>25.1</v>
      </c>
      <c r="G1500" s="2">
        <v>11</v>
      </c>
      <c r="H1500" s="2" t="str">
        <f>VLOOKUP(A1500,Holidays!$A$2:$B$2107,2,1)</f>
        <v>Y</v>
      </c>
      <c r="I1500" s="2" t="str">
        <f>VLOOKUP(A1500,Holidays!$A$2:$C$2107,3,1)</f>
        <v>N</v>
      </c>
    </row>
    <row r="1501" spans="1:9" x14ac:dyDescent="0.45">
      <c r="A1501" s="1">
        <v>43504</v>
      </c>
      <c r="B1501">
        <v>117327.495</v>
      </c>
      <c r="C1501">
        <v>107.8491587</v>
      </c>
      <c r="D1501" s="2">
        <v>18.100000000000001</v>
      </c>
      <c r="E1501" s="2">
        <v>23.1</v>
      </c>
      <c r="F1501" s="2">
        <v>21.1</v>
      </c>
      <c r="G1501" s="2">
        <v>0</v>
      </c>
      <c r="H1501" s="2" t="str">
        <f>VLOOKUP(A1501,Holidays!$A$2:$B$2107,2,1)</f>
        <v>Y</v>
      </c>
      <c r="I1501" s="2" t="str">
        <f>VLOOKUP(A1501,Holidays!$A$2:$C$2107,3,1)</f>
        <v>N</v>
      </c>
    </row>
    <row r="1502" spans="1:9" x14ac:dyDescent="0.45">
      <c r="A1502" s="1">
        <v>43505</v>
      </c>
      <c r="B1502">
        <v>95668.77</v>
      </c>
      <c r="C1502">
        <v>44.176311859999998</v>
      </c>
      <c r="D1502" s="2">
        <v>14.6</v>
      </c>
      <c r="E1502" s="2">
        <v>19.7</v>
      </c>
      <c r="F1502" s="2">
        <v>13.6</v>
      </c>
      <c r="G1502" s="2">
        <v>0</v>
      </c>
      <c r="H1502" s="2" t="str">
        <f>VLOOKUP(A1502,Holidays!$A$2:$B$2107,2,1)</f>
        <v>Y</v>
      </c>
      <c r="I1502" s="2" t="str">
        <f>VLOOKUP(A1502,Holidays!$A$2:$C$2107,3,1)</f>
        <v>N</v>
      </c>
    </row>
    <row r="1503" spans="1:9" x14ac:dyDescent="0.45">
      <c r="A1503" s="1">
        <v>43506</v>
      </c>
      <c r="B1503">
        <v>94786.72</v>
      </c>
      <c r="C1503">
        <v>86.435775870000001</v>
      </c>
      <c r="D1503" s="2">
        <v>13</v>
      </c>
      <c r="E1503" s="2">
        <v>23.3</v>
      </c>
      <c r="F1503" s="2">
        <v>23.5</v>
      </c>
      <c r="G1503" s="2">
        <v>4.8</v>
      </c>
      <c r="H1503" s="2" t="str">
        <f>VLOOKUP(A1503,Holidays!$A$2:$B$2107,2,1)</f>
        <v>Y</v>
      </c>
      <c r="I1503" s="2" t="str">
        <f>VLOOKUP(A1503,Holidays!$A$2:$C$2107,3,1)</f>
        <v>N</v>
      </c>
    </row>
    <row r="1504" spans="1:9" x14ac:dyDescent="0.45">
      <c r="A1504" s="1">
        <v>43507</v>
      </c>
      <c r="B1504">
        <v>114085.645</v>
      </c>
      <c r="C1504">
        <v>97.715089509999999</v>
      </c>
      <c r="D1504" s="2">
        <v>14.4</v>
      </c>
      <c r="E1504" s="2">
        <v>27.5</v>
      </c>
      <c r="F1504" s="2">
        <v>18.600000000000001</v>
      </c>
      <c r="G1504" s="2">
        <v>0</v>
      </c>
      <c r="H1504" s="2" t="str">
        <f>VLOOKUP(A1504,Holidays!$A$2:$B$2107,2,1)</f>
        <v>Y</v>
      </c>
      <c r="I1504" s="2" t="str">
        <f>VLOOKUP(A1504,Holidays!$A$2:$C$2107,3,1)</f>
        <v>N</v>
      </c>
    </row>
    <row r="1505" spans="1:9" x14ac:dyDescent="0.45">
      <c r="A1505" s="1">
        <v>43508</v>
      </c>
      <c r="B1505">
        <v>107697.205</v>
      </c>
      <c r="C1505">
        <v>57.338211940000001</v>
      </c>
      <c r="D1505" s="2">
        <v>18.399999999999999</v>
      </c>
      <c r="E1505" s="2">
        <v>21.5</v>
      </c>
      <c r="F1505" s="2">
        <v>12.4</v>
      </c>
      <c r="G1505" s="2">
        <v>0</v>
      </c>
      <c r="H1505" s="2" t="str">
        <f>VLOOKUP(A1505,Holidays!$A$2:$B$2107,2,1)</f>
        <v>Y</v>
      </c>
      <c r="I1505" s="2" t="str">
        <f>VLOOKUP(A1505,Holidays!$A$2:$C$2107,3,1)</f>
        <v>N</v>
      </c>
    </row>
    <row r="1506" spans="1:9" x14ac:dyDescent="0.45">
      <c r="A1506" s="1">
        <v>43509</v>
      </c>
      <c r="B1506">
        <v>106692.845</v>
      </c>
      <c r="C1506">
        <v>85.981483069999996</v>
      </c>
      <c r="D1506" s="2">
        <v>11.8</v>
      </c>
      <c r="E1506" s="2">
        <v>19.2</v>
      </c>
      <c r="F1506" s="2">
        <v>23.7</v>
      </c>
      <c r="G1506" s="2">
        <v>2.8</v>
      </c>
      <c r="H1506" s="2" t="str">
        <f>VLOOKUP(A1506,Holidays!$A$2:$B$2107,2,1)</f>
        <v>Y</v>
      </c>
      <c r="I1506" s="2" t="str">
        <f>VLOOKUP(A1506,Holidays!$A$2:$C$2107,3,1)</f>
        <v>N</v>
      </c>
    </row>
    <row r="1507" spans="1:9" x14ac:dyDescent="0.45">
      <c r="A1507" s="1">
        <v>43510</v>
      </c>
      <c r="B1507">
        <v>107655.08</v>
      </c>
      <c r="C1507">
        <v>108.29071519999999</v>
      </c>
      <c r="D1507" s="2">
        <v>12.3</v>
      </c>
      <c r="E1507" s="2">
        <v>23.2</v>
      </c>
      <c r="F1507" s="2">
        <v>24.2</v>
      </c>
      <c r="G1507" s="2">
        <v>0</v>
      </c>
      <c r="H1507" s="2" t="str">
        <f>VLOOKUP(A1507,Holidays!$A$2:$B$2107,2,1)</f>
        <v>Y</v>
      </c>
      <c r="I1507" s="2" t="str">
        <f>VLOOKUP(A1507,Holidays!$A$2:$C$2107,3,1)</f>
        <v>N</v>
      </c>
    </row>
    <row r="1508" spans="1:9" x14ac:dyDescent="0.45">
      <c r="A1508" s="1">
        <v>43511</v>
      </c>
      <c r="B1508">
        <v>113910.46</v>
      </c>
      <c r="C1508">
        <v>114.7685038</v>
      </c>
      <c r="D1508" s="2">
        <v>14.8</v>
      </c>
      <c r="E1508" s="2">
        <v>22.8</v>
      </c>
      <c r="F1508" s="2">
        <v>23.1</v>
      </c>
      <c r="G1508" s="2">
        <v>0</v>
      </c>
      <c r="H1508" s="2" t="str">
        <f>VLOOKUP(A1508,Holidays!$A$2:$B$2107,2,1)</f>
        <v>Y</v>
      </c>
      <c r="I1508" s="2" t="str">
        <f>VLOOKUP(A1508,Holidays!$A$2:$C$2107,3,1)</f>
        <v>N</v>
      </c>
    </row>
    <row r="1509" spans="1:9" x14ac:dyDescent="0.45">
      <c r="A1509" s="1">
        <v>43512</v>
      </c>
      <c r="B1509">
        <v>106467.235</v>
      </c>
      <c r="C1509">
        <v>127.4802754</v>
      </c>
      <c r="D1509" s="2">
        <v>16.100000000000001</v>
      </c>
      <c r="E1509" s="2">
        <v>23.2</v>
      </c>
      <c r="F1509" s="2">
        <v>24.2</v>
      </c>
      <c r="G1509" s="2">
        <v>0</v>
      </c>
      <c r="H1509" s="2" t="str">
        <f>VLOOKUP(A1509,Holidays!$A$2:$B$2107,2,1)</f>
        <v>Y</v>
      </c>
      <c r="I1509" s="2" t="str">
        <f>VLOOKUP(A1509,Holidays!$A$2:$C$2107,3,1)</f>
        <v>N</v>
      </c>
    </row>
    <row r="1510" spans="1:9" x14ac:dyDescent="0.45">
      <c r="A1510" s="1">
        <v>43513</v>
      </c>
      <c r="B1510">
        <v>108470.925</v>
      </c>
      <c r="C1510">
        <v>110.4895928</v>
      </c>
      <c r="D1510" s="2">
        <v>15</v>
      </c>
      <c r="E1510" s="2">
        <v>29</v>
      </c>
      <c r="F1510" s="2">
        <v>20</v>
      </c>
      <c r="G1510" s="2">
        <v>0</v>
      </c>
      <c r="H1510" s="2" t="str">
        <f>VLOOKUP(A1510,Holidays!$A$2:$B$2107,2,1)</f>
        <v>Y</v>
      </c>
      <c r="I1510" s="2" t="str">
        <f>VLOOKUP(A1510,Holidays!$A$2:$C$2107,3,1)</f>
        <v>N</v>
      </c>
    </row>
    <row r="1511" spans="1:9" x14ac:dyDescent="0.45">
      <c r="A1511" s="1">
        <v>43514</v>
      </c>
      <c r="B1511">
        <v>116995.065</v>
      </c>
      <c r="C1511">
        <v>104.4634554</v>
      </c>
      <c r="D1511" s="2">
        <v>18</v>
      </c>
      <c r="E1511" s="2">
        <v>23.6</v>
      </c>
      <c r="F1511" s="2">
        <v>16.899999999999999</v>
      </c>
      <c r="G1511" s="2">
        <v>0</v>
      </c>
      <c r="H1511" s="2" t="str">
        <f>VLOOKUP(A1511,Holidays!$A$2:$B$2107,2,1)</f>
        <v>Y</v>
      </c>
      <c r="I1511" s="2" t="str">
        <f>VLOOKUP(A1511,Holidays!$A$2:$C$2107,3,1)</f>
        <v>N</v>
      </c>
    </row>
    <row r="1512" spans="1:9" x14ac:dyDescent="0.45">
      <c r="A1512" s="1">
        <v>43515</v>
      </c>
      <c r="B1512">
        <v>110531.6</v>
      </c>
      <c r="C1512">
        <v>105.09817820000001</v>
      </c>
      <c r="D1512" s="2">
        <v>13.7</v>
      </c>
      <c r="E1512" s="2">
        <v>20.2</v>
      </c>
      <c r="F1512" s="2">
        <v>21.4</v>
      </c>
      <c r="G1512" s="2">
        <v>0</v>
      </c>
      <c r="H1512" s="2" t="str">
        <f>VLOOKUP(A1512,Holidays!$A$2:$B$2107,2,1)</f>
        <v>Y</v>
      </c>
      <c r="I1512" s="2" t="str">
        <f>VLOOKUP(A1512,Holidays!$A$2:$C$2107,3,1)</f>
        <v>N</v>
      </c>
    </row>
    <row r="1513" spans="1:9" x14ac:dyDescent="0.45">
      <c r="A1513" s="1">
        <v>43516</v>
      </c>
      <c r="B1513">
        <v>108972.30499999999</v>
      </c>
      <c r="C1513">
        <v>111.0460243</v>
      </c>
      <c r="D1513" s="2">
        <v>13.5</v>
      </c>
      <c r="E1513" s="2">
        <v>23.2</v>
      </c>
      <c r="F1513" s="2">
        <v>20.8</v>
      </c>
      <c r="G1513" s="2">
        <v>0</v>
      </c>
      <c r="H1513" s="2" t="str">
        <f>VLOOKUP(A1513,Holidays!$A$2:$B$2107,2,1)</f>
        <v>Y</v>
      </c>
      <c r="I1513" s="2" t="str">
        <f>VLOOKUP(A1513,Holidays!$A$2:$C$2107,3,1)</f>
        <v>N</v>
      </c>
    </row>
    <row r="1514" spans="1:9" x14ac:dyDescent="0.45">
      <c r="A1514" s="1">
        <v>43517</v>
      </c>
      <c r="B1514">
        <v>110235.33500000001</v>
      </c>
      <c r="C1514">
        <v>114.360572</v>
      </c>
      <c r="D1514" s="2">
        <v>14</v>
      </c>
      <c r="E1514" s="2">
        <v>20.399999999999999</v>
      </c>
      <c r="F1514" s="2">
        <v>16.2</v>
      </c>
      <c r="G1514" s="2">
        <v>0</v>
      </c>
      <c r="H1514" s="2" t="str">
        <f>VLOOKUP(A1514,Holidays!$A$2:$B$2107,2,1)</f>
        <v>Y</v>
      </c>
      <c r="I1514" s="2" t="str">
        <f>VLOOKUP(A1514,Holidays!$A$2:$C$2107,3,1)</f>
        <v>N</v>
      </c>
    </row>
    <row r="1515" spans="1:9" x14ac:dyDescent="0.45">
      <c r="A1515" s="1">
        <v>43518</v>
      </c>
      <c r="B1515">
        <v>109901.75999999999</v>
      </c>
      <c r="C1515">
        <v>103.0440629</v>
      </c>
      <c r="D1515" s="2">
        <v>15.5</v>
      </c>
      <c r="E1515" s="2">
        <v>21.2</v>
      </c>
      <c r="F1515" s="2">
        <v>23.9</v>
      </c>
      <c r="G1515" s="2">
        <v>0</v>
      </c>
      <c r="H1515" s="2" t="str">
        <f>VLOOKUP(A1515,Holidays!$A$2:$B$2107,2,1)</f>
        <v>Y</v>
      </c>
      <c r="I1515" s="2" t="str">
        <f>VLOOKUP(A1515,Holidays!$A$2:$C$2107,3,1)</f>
        <v>N</v>
      </c>
    </row>
    <row r="1516" spans="1:9" x14ac:dyDescent="0.45">
      <c r="A1516" s="1">
        <v>43519</v>
      </c>
      <c r="B1516">
        <v>99890.25</v>
      </c>
      <c r="C1516">
        <v>77.031403220000001</v>
      </c>
      <c r="D1516" s="2">
        <v>16.399999999999999</v>
      </c>
      <c r="E1516" s="2">
        <v>25.8</v>
      </c>
      <c r="F1516" s="2">
        <v>24</v>
      </c>
      <c r="G1516" s="2">
        <v>0</v>
      </c>
      <c r="H1516" s="2" t="str">
        <f>VLOOKUP(A1516,Holidays!$A$2:$B$2107,2,1)</f>
        <v>Y</v>
      </c>
      <c r="I1516" s="2" t="str">
        <f>VLOOKUP(A1516,Holidays!$A$2:$C$2107,3,1)</f>
        <v>N</v>
      </c>
    </row>
    <row r="1517" spans="1:9" x14ac:dyDescent="0.45">
      <c r="A1517" s="1">
        <v>43520</v>
      </c>
      <c r="B1517">
        <v>106877.86500000001</v>
      </c>
      <c r="C1517">
        <v>87.180913380000007</v>
      </c>
      <c r="D1517" s="2">
        <v>13.8</v>
      </c>
      <c r="E1517" s="2">
        <v>32.9</v>
      </c>
      <c r="F1517" s="2">
        <v>24.6</v>
      </c>
      <c r="G1517" s="2">
        <v>0</v>
      </c>
      <c r="H1517" s="2" t="str">
        <f>VLOOKUP(A1517,Holidays!$A$2:$B$2107,2,1)</f>
        <v>Y</v>
      </c>
      <c r="I1517" s="2" t="str">
        <f>VLOOKUP(A1517,Holidays!$A$2:$C$2107,3,1)</f>
        <v>N</v>
      </c>
    </row>
    <row r="1518" spans="1:9" x14ac:dyDescent="0.45">
      <c r="A1518" s="1">
        <v>43521</v>
      </c>
      <c r="B1518">
        <v>133476.60500000001</v>
      </c>
      <c r="C1518">
        <v>139.95597699999999</v>
      </c>
      <c r="D1518" s="2">
        <v>18</v>
      </c>
      <c r="E1518" s="2">
        <v>34.200000000000003</v>
      </c>
      <c r="F1518" s="2">
        <v>24.4</v>
      </c>
      <c r="G1518" s="2">
        <v>0</v>
      </c>
      <c r="H1518" s="2" t="str">
        <f>VLOOKUP(A1518,Holidays!$A$2:$B$2107,2,1)</f>
        <v>Y</v>
      </c>
      <c r="I1518" s="2" t="str">
        <f>VLOOKUP(A1518,Holidays!$A$2:$C$2107,3,1)</f>
        <v>N</v>
      </c>
    </row>
    <row r="1519" spans="1:9" x14ac:dyDescent="0.45">
      <c r="A1519" s="1">
        <v>43522</v>
      </c>
      <c r="B1519">
        <v>123114.11500000001</v>
      </c>
      <c r="C1519">
        <v>115.9396033</v>
      </c>
      <c r="D1519" s="2">
        <v>17.899999999999999</v>
      </c>
      <c r="E1519" s="2">
        <v>22.3</v>
      </c>
      <c r="F1519" s="2">
        <v>21</v>
      </c>
      <c r="G1519" s="2">
        <v>0</v>
      </c>
      <c r="H1519" s="2" t="str">
        <f>VLOOKUP(A1519,Holidays!$A$2:$B$2107,2,1)</f>
        <v>Y</v>
      </c>
      <c r="I1519" s="2" t="str">
        <f>VLOOKUP(A1519,Holidays!$A$2:$C$2107,3,1)</f>
        <v>N</v>
      </c>
    </row>
    <row r="1520" spans="1:9" x14ac:dyDescent="0.45">
      <c r="A1520" s="1">
        <v>43523</v>
      </c>
      <c r="B1520">
        <v>125272.27</v>
      </c>
      <c r="C1520">
        <v>123.7875391</v>
      </c>
      <c r="D1520" s="2">
        <v>12.9</v>
      </c>
      <c r="E1520" s="2">
        <v>25.7</v>
      </c>
      <c r="F1520" s="2">
        <v>24</v>
      </c>
      <c r="G1520" s="2">
        <v>0</v>
      </c>
      <c r="H1520" s="2" t="str">
        <f>VLOOKUP(A1520,Holidays!$A$2:$B$2107,2,1)</f>
        <v>Y</v>
      </c>
      <c r="I1520" s="2" t="str">
        <f>VLOOKUP(A1520,Holidays!$A$2:$C$2107,3,1)</f>
        <v>N</v>
      </c>
    </row>
    <row r="1521" spans="1:9" x14ac:dyDescent="0.45">
      <c r="A1521" s="1">
        <v>43524</v>
      </c>
      <c r="B1521">
        <v>150472.255</v>
      </c>
      <c r="C1521">
        <v>160.93844870000001</v>
      </c>
      <c r="D1521" s="2">
        <v>16.3</v>
      </c>
      <c r="E1521" s="2">
        <v>36.799999999999997</v>
      </c>
      <c r="F1521" s="2">
        <v>23.4</v>
      </c>
      <c r="G1521" s="2">
        <v>0</v>
      </c>
      <c r="H1521" s="2" t="str">
        <f>VLOOKUP(A1521,Holidays!$A$2:$B$2107,2,1)</f>
        <v>Y</v>
      </c>
      <c r="I1521" s="2" t="str">
        <f>VLOOKUP(A1521,Holidays!$A$2:$C$2107,3,1)</f>
        <v>N</v>
      </c>
    </row>
    <row r="1522" spans="1:9" x14ac:dyDescent="0.45">
      <c r="A1522" s="1">
        <v>43525</v>
      </c>
      <c r="B1522">
        <v>163682.04</v>
      </c>
      <c r="C1522">
        <v>1284.799876</v>
      </c>
      <c r="D1522" s="2">
        <v>22.6</v>
      </c>
      <c r="E1522" s="2">
        <v>38.1</v>
      </c>
      <c r="F1522" s="2">
        <v>22.3</v>
      </c>
      <c r="G1522" s="2">
        <v>0</v>
      </c>
      <c r="H1522" s="2" t="str">
        <f>VLOOKUP(A1522,Holidays!$A$2:$B$2107,2,1)</f>
        <v>Y</v>
      </c>
      <c r="I1522" s="2" t="str">
        <f>VLOOKUP(A1522,Holidays!$A$2:$C$2107,3,1)</f>
        <v>N</v>
      </c>
    </row>
    <row r="1523" spans="1:9" x14ac:dyDescent="0.45">
      <c r="A1523" s="1">
        <v>43526</v>
      </c>
      <c r="B1523">
        <v>146265.11499999999</v>
      </c>
      <c r="C1523">
        <v>132.49259040000001</v>
      </c>
      <c r="D1523" s="2">
        <v>22.3</v>
      </c>
      <c r="E1523" s="2">
        <v>36.299999999999997</v>
      </c>
      <c r="F1523" s="2">
        <v>23.4</v>
      </c>
      <c r="G1523" s="2">
        <v>0</v>
      </c>
      <c r="H1523" s="2" t="str">
        <f>VLOOKUP(A1523,Holidays!$A$2:$B$2107,2,1)</f>
        <v>Y</v>
      </c>
      <c r="I1523" s="2" t="str">
        <f>VLOOKUP(A1523,Holidays!$A$2:$C$2107,3,1)</f>
        <v>N</v>
      </c>
    </row>
    <row r="1524" spans="1:9" x14ac:dyDescent="0.45">
      <c r="A1524" s="1">
        <v>43527</v>
      </c>
      <c r="B1524">
        <v>138597.69</v>
      </c>
      <c r="C1524">
        <v>153.7842958</v>
      </c>
      <c r="D1524" s="2">
        <v>25.1</v>
      </c>
      <c r="E1524" s="2">
        <v>36</v>
      </c>
      <c r="F1524" s="2">
        <v>14.4</v>
      </c>
      <c r="G1524" s="2">
        <v>0</v>
      </c>
      <c r="H1524" s="2" t="str">
        <f>VLOOKUP(A1524,Holidays!$A$2:$B$2107,2,1)</f>
        <v>Y</v>
      </c>
      <c r="I1524" s="2" t="str">
        <f>VLOOKUP(A1524,Holidays!$A$2:$C$2107,3,1)</f>
        <v>N</v>
      </c>
    </row>
    <row r="1525" spans="1:9" x14ac:dyDescent="0.45">
      <c r="A1525" s="1">
        <v>43528</v>
      </c>
      <c r="B1525">
        <v>136528.81</v>
      </c>
      <c r="C1525">
        <v>135.2064474</v>
      </c>
      <c r="D1525" s="2">
        <v>19</v>
      </c>
      <c r="E1525" s="2">
        <v>24.6</v>
      </c>
      <c r="F1525" s="2">
        <v>21.8</v>
      </c>
      <c r="G1525" s="2">
        <v>0</v>
      </c>
      <c r="H1525" s="2" t="str">
        <f>VLOOKUP(A1525,Holidays!$A$2:$B$2107,2,1)</f>
        <v>Y</v>
      </c>
      <c r="I1525" s="2" t="str">
        <f>VLOOKUP(A1525,Holidays!$A$2:$C$2107,3,1)</f>
        <v>N</v>
      </c>
    </row>
    <row r="1526" spans="1:9" x14ac:dyDescent="0.45">
      <c r="A1526" s="1">
        <v>43529</v>
      </c>
      <c r="B1526">
        <v>126073.53</v>
      </c>
      <c r="C1526">
        <v>118.26194460000001</v>
      </c>
      <c r="D1526" s="2">
        <v>18</v>
      </c>
      <c r="E1526" s="2">
        <v>24.3</v>
      </c>
      <c r="F1526" s="2">
        <v>15.5</v>
      </c>
      <c r="G1526" s="2">
        <v>0</v>
      </c>
      <c r="H1526" s="2" t="str">
        <f>VLOOKUP(A1526,Holidays!$A$2:$B$2107,2,1)</f>
        <v>Y</v>
      </c>
      <c r="I1526" s="2" t="str">
        <f>VLOOKUP(A1526,Holidays!$A$2:$C$2107,3,1)</f>
        <v>N</v>
      </c>
    </row>
    <row r="1527" spans="1:9" x14ac:dyDescent="0.45">
      <c r="A1527" s="1">
        <v>43530</v>
      </c>
      <c r="B1527">
        <v>108723.61500000001</v>
      </c>
      <c r="C1527">
        <v>75.981191370000005</v>
      </c>
      <c r="D1527" s="2">
        <v>13.2</v>
      </c>
      <c r="E1527" s="2">
        <v>17.2</v>
      </c>
      <c r="F1527" s="2">
        <v>19.5</v>
      </c>
      <c r="G1527" s="2">
        <v>1.6</v>
      </c>
      <c r="H1527" s="2" t="str">
        <f>VLOOKUP(A1527,Holidays!$A$2:$B$2107,2,1)</f>
        <v>Y</v>
      </c>
      <c r="I1527" s="2" t="str">
        <f>VLOOKUP(A1527,Holidays!$A$2:$C$2107,3,1)</f>
        <v>N</v>
      </c>
    </row>
    <row r="1528" spans="1:9" x14ac:dyDescent="0.45">
      <c r="A1528" s="1">
        <v>43531</v>
      </c>
      <c r="B1528">
        <v>114519.86500000001</v>
      </c>
      <c r="C1528">
        <v>103.1975585</v>
      </c>
      <c r="D1528" s="2">
        <v>9.6999999999999993</v>
      </c>
      <c r="E1528" s="2">
        <v>22.1</v>
      </c>
      <c r="F1528" s="2">
        <v>21.2</v>
      </c>
      <c r="G1528" s="2">
        <v>2</v>
      </c>
      <c r="H1528" s="2" t="str">
        <f>VLOOKUP(A1528,Holidays!$A$2:$B$2107,2,1)</f>
        <v>Y</v>
      </c>
      <c r="I1528" s="2" t="str">
        <f>VLOOKUP(A1528,Holidays!$A$2:$C$2107,3,1)</f>
        <v>N</v>
      </c>
    </row>
    <row r="1529" spans="1:9" x14ac:dyDescent="0.45">
      <c r="A1529" s="1">
        <v>43532</v>
      </c>
      <c r="B1529">
        <v>117281.2</v>
      </c>
      <c r="C1529">
        <v>106.9388027</v>
      </c>
      <c r="D1529" s="2">
        <v>11.3</v>
      </c>
      <c r="E1529" s="2">
        <v>26.8</v>
      </c>
      <c r="F1529" s="2">
        <v>10.199999999999999</v>
      </c>
      <c r="G1529" s="2">
        <v>0</v>
      </c>
      <c r="H1529" s="2" t="str">
        <f>VLOOKUP(A1529,Holidays!$A$2:$B$2107,2,1)</f>
        <v>Y</v>
      </c>
      <c r="I1529" s="2" t="str">
        <f>VLOOKUP(A1529,Holidays!$A$2:$C$2107,3,1)</f>
        <v>N</v>
      </c>
    </row>
    <row r="1530" spans="1:9" x14ac:dyDescent="0.45">
      <c r="A1530" s="1">
        <v>43533</v>
      </c>
      <c r="B1530">
        <v>106854.935</v>
      </c>
      <c r="C1530">
        <v>95.078424589999997</v>
      </c>
      <c r="D1530" s="2">
        <v>13.9</v>
      </c>
      <c r="E1530" s="2">
        <v>24.7</v>
      </c>
      <c r="F1530" s="2">
        <v>20</v>
      </c>
      <c r="G1530" s="2">
        <v>0</v>
      </c>
      <c r="H1530" s="2" t="str">
        <f>VLOOKUP(A1530,Holidays!$A$2:$B$2107,2,1)</f>
        <v>Y</v>
      </c>
      <c r="I1530" s="2" t="str">
        <f>VLOOKUP(A1530,Holidays!$A$2:$C$2107,3,1)</f>
        <v>N</v>
      </c>
    </row>
    <row r="1531" spans="1:9" x14ac:dyDescent="0.45">
      <c r="A1531" s="1">
        <v>43534</v>
      </c>
      <c r="B1531">
        <v>101994.05499999999</v>
      </c>
      <c r="C1531">
        <v>74.374932029999997</v>
      </c>
      <c r="D1531" s="2">
        <v>14.3</v>
      </c>
      <c r="E1531" s="2">
        <v>23.7</v>
      </c>
      <c r="F1531" s="2">
        <v>10.1</v>
      </c>
      <c r="G1531" s="2">
        <v>0</v>
      </c>
      <c r="H1531" s="2" t="str">
        <f>VLOOKUP(A1531,Holidays!$A$2:$B$2107,2,1)</f>
        <v>Y</v>
      </c>
      <c r="I1531" s="2" t="str">
        <f>VLOOKUP(A1531,Holidays!$A$2:$C$2107,3,1)</f>
        <v>N</v>
      </c>
    </row>
    <row r="1532" spans="1:9" x14ac:dyDescent="0.45">
      <c r="A1532" s="1">
        <v>43535</v>
      </c>
      <c r="B1532">
        <v>103219.08</v>
      </c>
      <c r="C1532">
        <v>81.472040070000006</v>
      </c>
      <c r="D1532" s="2">
        <v>15.9</v>
      </c>
      <c r="E1532" s="2">
        <v>21.8</v>
      </c>
      <c r="F1532" s="2">
        <v>18.600000000000001</v>
      </c>
      <c r="G1532" s="2">
        <v>0.2</v>
      </c>
      <c r="H1532" s="2" t="str">
        <f>VLOOKUP(A1532,Holidays!$A$2:$B$2107,2,1)</f>
        <v>Y</v>
      </c>
      <c r="I1532" s="2" t="str">
        <f>VLOOKUP(A1532,Holidays!$A$2:$C$2107,3,1)</f>
        <v>Y</v>
      </c>
    </row>
    <row r="1533" spans="1:9" x14ac:dyDescent="0.45">
      <c r="A1533" s="1">
        <v>43536</v>
      </c>
      <c r="B1533">
        <v>110086.7</v>
      </c>
      <c r="C1533">
        <v>76.971547959999995</v>
      </c>
      <c r="D1533" s="2">
        <v>15.8</v>
      </c>
      <c r="E1533" s="2">
        <v>19.2</v>
      </c>
      <c r="F1533" s="2">
        <v>10.8</v>
      </c>
      <c r="G1533" s="2">
        <v>0</v>
      </c>
      <c r="H1533" s="2" t="str">
        <f>VLOOKUP(A1533,Holidays!$A$2:$B$2107,2,1)</f>
        <v>Y</v>
      </c>
      <c r="I1533" s="2" t="str">
        <f>VLOOKUP(A1533,Holidays!$A$2:$C$2107,3,1)</f>
        <v>N</v>
      </c>
    </row>
    <row r="1534" spans="1:9" x14ac:dyDescent="0.45">
      <c r="A1534" s="1">
        <v>43537</v>
      </c>
      <c r="B1534">
        <v>114740.52</v>
      </c>
      <c r="C1534">
        <v>122.2385811</v>
      </c>
      <c r="D1534" s="2">
        <v>11.9</v>
      </c>
      <c r="E1534" s="2">
        <v>18.600000000000001</v>
      </c>
      <c r="F1534" s="2">
        <v>15.1</v>
      </c>
      <c r="G1534" s="2">
        <v>0</v>
      </c>
      <c r="H1534" s="2" t="str">
        <f>VLOOKUP(A1534,Holidays!$A$2:$B$2107,2,1)</f>
        <v>Y</v>
      </c>
      <c r="I1534" s="2" t="str">
        <f>VLOOKUP(A1534,Holidays!$A$2:$C$2107,3,1)</f>
        <v>N</v>
      </c>
    </row>
    <row r="1535" spans="1:9" x14ac:dyDescent="0.45">
      <c r="A1535" s="1">
        <v>43538</v>
      </c>
      <c r="B1535">
        <v>112785.78</v>
      </c>
      <c r="C1535">
        <v>126.7859571</v>
      </c>
      <c r="D1535" s="2">
        <v>12.1</v>
      </c>
      <c r="E1535" s="2">
        <v>20.8</v>
      </c>
      <c r="F1535" s="2">
        <v>20.6</v>
      </c>
      <c r="G1535" s="2">
        <v>0.2</v>
      </c>
      <c r="H1535" s="2" t="str">
        <f>VLOOKUP(A1535,Holidays!$A$2:$B$2107,2,1)</f>
        <v>Y</v>
      </c>
      <c r="I1535" s="2" t="str">
        <f>VLOOKUP(A1535,Holidays!$A$2:$C$2107,3,1)</f>
        <v>N</v>
      </c>
    </row>
    <row r="1536" spans="1:9" x14ac:dyDescent="0.45">
      <c r="A1536" s="1">
        <v>43539</v>
      </c>
      <c r="B1536">
        <v>111179.125</v>
      </c>
      <c r="C1536">
        <v>102.60851510000001</v>
      </c>
      <c r="D1536" s="2">
        <v>11.7</v>
      </c>
      <c r="E1536" s="2">
        <v>22.2</v>
      </c>
      <c r="F1536" s="2">
        <v>18.7</v>
      </c>
      <c r="G1536" s="2">
        <v>0</v>
      </c>
      <c r="H1536" s="2" t="str">
        <f>VLOOKUP(A1536,Holidays!$A$2:$B$2107,2,1)</f>
        <v>Y</v>
      </c>
      <c r="I1536" s="2" t="str">
        <f>VLOOKUP(A1536,Holidays!$A$2:$C$2107,3,1)</f>
        <v>N</v>
      </c>
    </row>
    <row r="1537" spans="1:9" x14ac:dyDescent="0.45">
      <c r="A1537" s="1">
        <v>43540</v>
      </c>
      <c r="B1537">
        <v>105119.48</v>
      </c>
      <c r="C1537">
        <v>95.251187810000005</v>
      </c>
      <c r="D1537" s="2">
        <v>12.2</v>
      </c>
      <c r="E1537" s="2">
        <v>25.6</v>
      </c>
      <c r="F1537" s="2">
        <v>20.100000000000001</v>
      </c>
      <c r="G1537" s="2">
        <v>0</v>
      </c>
      <c r="H1537" s="2" t="str">
        <f>VLOOKUP(A1537,Holidays!$A$2:$B$2107,2,1)</f>
        <v>Y</v>
      </c>
      <c r="I1537" s="2" t="str">
        <f>VLOOKUP(A1537,Holidays!$A$2:$C$2107,3,1)</f>
        <v>N</v>
      </c>
    </row>
    <row r="1538" spans="1:9" x14ac:dyDescent="0.45">
      <c r="A1538" s="1">
        <v>43541</v>
      </c>
      <c r="B1538">
        <v>105669.045</v>
      </c>
      <c r="C1538">
        <v>103.9571924</v>
      </c>
      <c r="D1538" s="2">
        <v>14.2</v>
      </c>
      <c r="E1538" s="2">
        <v>25.6</v>
      </c>
      <c r="F1538" s="2">
        <v>19.2</v>
      </c>
      <c r="G1538" s="2">
        <v>0</v>
      </c>
      <c r="H1538" s="2" t="str">
        <f>VLOOKUP(A1538,Holidays!$A$2:$B$2107,2,1)</f>
        <v>Y</v>
      </c>
      <c r="I1538" s="2" t="str">
        <f>VLOOKUP(A1538,Holidays!$A$2:$C$2107,3,1)</f>
        <v>N</v>
      </c>
    </row>
    <row r="1539" spans="1:9" x14ac:dyDescent="0.45">
      <c r="A1539" s="1">
        <v>43542</v>
      </c>
      <c r="B1539">
        <v>121954.38499999999</v>
      </c>
      <c r="C1539">
        <v>111.14979460000001</v>
      </c>
      <c r="D1539" s="2">
        <v>16.5</v>
      </c>
      <c r="E1539" s="2">
        <v>28.2</v>
      </c>
      <c r="F1539" s="2">
        <v>18.899999999999999</v>
      </c>
      <c r="G1539" s="2">
        <v>0</v>
      </c>
      <c r="H1539" s="2" t="str">
        <f>VLOOKUP(A1539,Holidays!$A$2:$B$2107,2,1)</f>
        <v>Y</v>
      </c>
      <c r="I1539" s="2" t="str">
        <f>VLOOKUP(A1539,Holidays!$A$2:$C$2107,3,1)</f>
        <v>N</v>
      </c>
    </row>
    <row r="1540" spans="1:9" x14ac:dyDescent="0.45">
      <c r="A1540" s="1">
        <v>43543</v>
      </c>
      <c r="B1540">
        <v>123290.83500000001</v>
      </c>
      <c r="C1540">
        <v>113.64477429999999</v>
      </c>
      <c r="D1540" s="2">
        <v>16.899999999999999</v>
      </c>
      <c r="E1540" s="2">
        <v>23.4</v>
      </c>
      <c r="F1540" s="2">
        <v>12.7</v>
      </c>
      <c r="G1540" s="2">
        <v>0</v>
      </c>
      <c r="H1540" s="2" t="str">
        <f>VLOOKUP(A1540,Holidays!$A$2:$B$2107,2,1)</f>
        <v>Y</v>
      </c>
      <c r="I1540" s="2" t="str">
        <f>VLOOKUP(A1540,Holidays!$A$2:$C$2107,3,1)</f>
        <v>N</v>
      </c>
    </row>
    <row r="1541" spans="1:9" x14ac:dyDescent="0.45">
      <c r="A1541" s="1">
        <v>43544</v>
      </c>
      <c r="B1541">
        <v>123994.3</v>
      </c>
      <c r="C1541">
        <v>127.27659920000001</v>
      </c>
      <c r="D1541" s="2">
        <v>19.3</v>
      </c>
      <c r="E1541" s="2">
        <v>23.4</v>
      </c>
      <c r="F1541" s="2">
        <v>11.1</v>
      </c>
      <c r="G1541" s="2">
        <v>0</v>
      </c>
      <c r="H1541" s="2" t="str">
        <f>VLOOKUP(A1541,Holidays!$A$2:$B$2107,2,1)</f>
        <v>Y</v>
      </c>
      <c r="I1541" s="2" t="str">
        <f>VLOOKUP(A1541,Holidays!$A$2:$C$2107,3,1)</f>
        <v>N</v>
      </c>
    </row>
    <row r="1542" spans="1:9" x14ac:dyDescent="0.45">
      <c r="A1542" s="1">
        <v>43545</v>
      </c>
      <c r="B1542">
        <v>124181.405</v>
      </c>
      <c r="C1542">
        <v>115.460165</v>
      </c>
      <c r="D1542" s="2">
        <v>18.2</v>
      </c>
      <c r="E1542" s="2">
        <v>24.3</v>
      </c>
      <c r="F1542" s="2">
        <v>12.5</v>
      </c>
      <c r="G1542" s="2">
        <v>0</v>
      </c>
      <c r="H1542" s="2" t="str">
        <f>VLOOKUP(A1542,Holidays!$A$2:$B$2107,2,1)</f>
        <v>Y</v>
      </c>
      <c r="I1542" s="2" t="str">
        <f>VLOOKUP(A1542,Holidays!$A$2:$C$2107,3,1)</f>
        <v>N</v>
      </c>
    </row>
    <row r="1543" spans="1:9" x14ac:dyDescent="0.45">
      <c r="A1543" s="1">
        <v>43546</v>
      </c>
      <c r="B1543">
        <v>128305.64</v>
      </c>
      <c r="C1543">
        <v>111.2407066</v>
      </c>
      <c r="D1543" s="2">
        <v>18.7</v>
      </c>
      <c r="E1543" s="2">
        <v>28.6</v>
      </c>
      <c r="F1543" s="2">
        <v>15.3</v>
      </c>
      <c r="G1543" s="2">
        <v>0</v>
      </c>
      <c r="H1543" s="2" t="str">
        <f>VLOOKUP(A1543,Holidays!$A$2:$B$2107,2,1)</f>
        <v>Y</v>
      </c>
      <c r="I1543" s="2" t="str">
        <f>VLOOKUP(A1543,Holidays!$A$2:$C$2107,3,1)</f>
        <v>N</v>
      </c>
    </row>
    <row r="1544" spans="1:9" x14ac:dyDescent="0.45">
      <c r="A1544" s="1">
        <v>43547</v>
      </c>
      <c r="B1544">
        <v>109147.65</v>
      </c>
      <c r="C1544">
        <v>98.954731719999998</v>
      </c>
      <c r="D1544" s="2">
        <v>19.899999999999999</v>
      </c>
      <c r="E1544" s="2">
        <v>31.3</v>
      </c>
      <c r="F1544" s="2">
        <v>13.6</v>
      </c>
      <c r="G1544" s="2">
        <v>1.8</v>
      </c>
      <c r="H1544" s="2" t="str">
        <f>VLOOKUP(A1544,Holidays!$A$2:$B$2107,2,1)</f>
        <v>Y</v>
      </c>
      <c r="I1544" s="2" t="str">
        <f>VLOOKUP(A1544,Holidays!$A$2:$C$2107,3,1)</f>
        <v>N</v>
      </c>
    </row>
    <row r="1545" spans="1:9" x14ac:dyDescent="0.45">
      <c r="A1545" s="1">
        <v>43548</v>
      </c>
      <c r="B1545">
        <v>104226.83</v>
      </c>
      <c r="C1545">
        <v>97.857599649999997</v>
      </c>
      <c r="D1545" s="2">
        <v>16.5</v>
      </c>
      <c r="E1545" s="2">
        <v>29.3</v>
      </c>
      <c r="F1545" s="2">
        <v>16.899999999999999</v>
      </c>
      <c r="G1545" s="2">
        <v>2</v>
      </c>
      <c r="H1545" s="2" t="str">
        <f>VLOOKUP(A1545,Holidays!$A$2:$B$2107,2,1)</f>
        <v>Y</v>
      </c>
      <c r="I1545" s="2" t="str">
        <f>VLOOKUP(A1545,Holidays!$A$2:$C$2107,3,1)</f>
        <v>N</v>
      </c>
    </row>
    <row r="1546" spans="1:9" x14ac:dyDescent="0.45">
      <c r="A1546" s="1">
        <v>43549</v>
      </c>
      <c r="B1546">
        <v>107583.935</v>
      </c>
      <c r="C1546">
        <v>80.292927370000001</v>
      </c>
      <c r="D1546" s="2">
        <v>14.8</v>
      </c>
      <c r="E1546" s="2">
        <v>19</v>
      </c>
      <c r="F1546" s="2">
        <v>13.6</v>
      </c>
      <c r="G1546" s="2">
        <v>0.2</v>
      </c>
      <c r="H1546" s="2" t="str">
        <f>VLOOKUP(A1546,Holidays!$A$2:$B$2107,2,1)</f>
        <v>Y</v>
      </c>
      <c r="I1546" s="2" t="str">
        <f>VLOOKUP(A1546,Holidays!$A$2:$C$2107,3,1)</f>
        <v>N</v>
      </c>
    </row>
    <row r="1547" spans="1:9" x14ac:dyDescent="0.45">
      <c r="A1547" s="1">
        <v>43550</v>
      </c>
      <c r="B1547">
        <v>108840.18</v>
      </c>
      <c r="C1547">
        <v>95.567893560000002</v>
      </c>
      <c r="D1547" s="2">
        <v>12.3</v>
      </c>
      <c r="E1547" s="2">
        <v>20.3</v>
      </c>
      <c r="F1547" s="2">
        <v>15.9</v>
      </c>
      <c r="G1547" s="2">
        <v>0</v>
      </c>
      <c r="H1547" s="2" t="str">
        <f>VLOOKUP(A1547,Holidays!$A$2:$B$2107,2,1)</f>
        <v>Y</v>
      </c>
      <c r="I1547" s="2" t="str">
        <f>VLOOKUP(A1547,Holidays!$A$2:$C$2107,3,1)</f>
        <v>N</v>
      </c>
    </row>
    <row r="1548" spans="1:9" x14ac:dyDescent="0.45">
      <c r="A1548" s="1">
        <v>43551</v>
      </c>
      <c r="B1548">
        <v>113307.595</v>
      </c>
      <c r="C1548">
        <v>114.1613715</v>
      </c>
      <c r="D1548" s="2">
        <v>11.1</v>
      </c>
      <c r="E1548" s="2">
        <v>21.7</v>
      </c>
      <c r="F1548" s="2">
        <v>17.8</v>
      </c>
      <c r="G1548" s="2">
        <v>0</v>
      </c>
      <c r="H1548" s="2" t="str">
        <f>VLOOKUP(A1548,Holidays!$A$2:$B$2107,2,1)</f>
        <v>Y</v>
      </c>
      <c r="I1548" s="2" t="str">
        <f>VLOOKUP(A1548,Holidays!$A$2:$C$2107,3,1)</f>
        <v>N</v>
      </c>
    </row>
    <row r="1549" spans="1:9" x14ac:dyDescent="0.45">
      <c r="A1549" s="1">
        <v>43552</v>
      </c>
      <c r="B1549">
        <v>113923.16</v>
      </c>
      <c r="C1549">
        <v>108.460275</v>
      </c>
      <c r="D1549" s="2">
        <v>11.6</v>
      </c>
      <c r="E1549" s="2">
        <v>27.9</v>
      </c>
      <c r="F1549" s="2">
        <v>17.8</v>
      </c>
      <c r="G1549" s="2">
        <v>0</v>
      </c>
      <c r="H1549" s="2" t="str">
        <f>VLOOKUP(A1549,Holidays!$A$2:$B$2107,2,1)</f>
        <v>Y</v>
      </c>
      <c r="I1549" s="2" t="str">
        <f>VLOOKUP(A1549,Holidays!$A$2:$C$2107,3,1)</f>
        <v>N</v>
      </c>
    </row>
    <row r="1550" spans="1:9" x14ac:dyDescent="0.45">
      <c r="A1550" s="1">
        <v>43553</v>
      </c>
      <c r="B1550">
        <v>110768.285</v>
      </c>
      <c r="C1550">
        <v>83.989537740000003</v>
      </c>
      <c r="D1550" s="2">
        <v>14.6</v>
      </c>
      <c r="E1550" s="2">
        <v>28.5</v>
      </c>
      <c r="F1550" s="2">
        <v>4.9000000000000004</v>
      </c>
      <c r="G1550" s="2">
        <v>0</v>
      </c>
      <c r="H1550" s="2" t="str">
        <f>VLOOKUP(A1550,Holidays!$A$2:$B$2107,2,1)</f>
        <v>Y</v>
      </c>
      <c r="I1550" s="2" t="str">
        <f>VLOOKUP(A1550,Holidays!$A$2:$C$2107,3,1)</f>
        <v>N</v>
      </c>
    </row>
    <row r="1551" spans="1:9" x14ac:dyDescent="0.45">
      <c r="A1551" s="1">
        <v>43554</v>
      </c>
      <c r="B1551">
        <v>101262.655</v>
      </c>
      <c r="C1551">
        <v>85.165934859999993</v>
      </c>
      <c r="D1551" s="2">
        <v>9.1</v>
      </c>
      <c r="E1551" s="2">
        <v>15.6</v>
      </c>
      <c r="F1551" s="2">
        <v>11.4</v>
      </c>
      <c r="G1551" s="2">
        <v>1.8</v>
      </c>
      <c r="H1551" s="2" t="str">
        <f>VLOOKUP(A1551,Holidays!$A$2:$B$2107,2,1)</f>
        <v>Y</v>
      </c>
      <c r="I1551" s="2" t="str">
        <f>VLOOKUP(A1551,Holidays!$A$2:$C$2107,3,1)</f>
        <v>N</v>
      </c>
    </row>
    <row r="1552" spans="1:9" x14ac:dyDescent="0.45">
      <c r="A1552" s="1">
        <v>43555</v>
      </c>
      <c r="B1552">
        <v>101119.83500000001</v>
      </c>
      <c r="C1552">
        <v>94.389588230000001</v>
      </c>
      <c r="D1552" s="2">
        <v>9.4</v>
      </c>
      <c r="E1552" s="2">
        <v>18.5</v>
      </c>
      <c r="F1552" s="2">
        <v>8</v>
      </c>
      <c r="G1552" s="2">
        <v>2.2000000000000002</v>
      </c>
      <c r="H1552" s="2" t="str">
        <f>VLOOKUP(A1552,Holidays!$A$2:$B$2107,2,1)</f>
        <v>Y</v>
      </c>
      <c r="I1552" s="2" t="str">
        <f>VLOOKUP(A1552,Holidays!$A$2:$C$2107,3,1)</f>
        <v>N</v>
      </c>
    </row>
    <row r="1553" spans="1:9" x14ac:dyDescent="0.45">
      <c r="A1553" s="1">
        <v>43556</v>
      </c>
      <c r="B1553">
        <v>116817.43</v>
      </c>
      <c r="C1553">
        <v>131.3335309</v>
      </c>
      <c r="D1553" s="2">
        <v>13</v>
      </c>
      <c r="E1553" s="2">
        <v>17.100000000000001</v>
      </c>
      <c r="F1553" s="2">
        <v>6.6</v>
      </c>
      <c r="G1553" s="2">
        <v>0.2</v>
      </c>
      <c r="H1553" s="2" t="str">
        <f>VLOOKUP(A1553,Holidays!$A$2:$B$2107,2,1)</f>
        <v>Y</v>
      </c>
      <c r="I1553" s="2" t="str">
        <f>VLOOKUP(A1553,Holidays!$A$2:$C$2107,3,1)</f>
        <v>N</v>
      </c>
    </row>
    <row r="1554" spans="1:9" x14ac:dyDescent="0.45">
      <c r="A1554" s="1">
        <v>43557</v>
      </c>
      <c r="B1554">
        <v>114927.205</v>
      </c>
      <c r="C1554">
        <v>119.3975507</v>
      </c>
      <c r="D1554" s="2">
        <v>7.4</v>
      </c>
      <c r="E1554" s="2">
        <v>25.9</v>
      </c>
      <c r="F1554" s="2">
        <v>16.600000000000001</v>
      </c>
      <c r="G1554" s="2">
        <v>0</v>
      </c>
      <c r="H1554" s="2" t="str">
        <f>VLOOKUP(A1554,Holidays!$A$2:$B$2107,2,1)</f>
        <v>Y</v>
      </c>
      <c r="I1554" s="2" t="str">
        <f>VLOOKUP(A1554,Holidays!$A$2:$C$2107,3,1)</f>
        <v>N</v>
      </c>
    </row>
    <row r="1555" spans="1:9" x14ac:dyDescent="0.45">
      <c r="A1555" s="1">
        <v>43558</v>
      </c>
      <c r="B1555">
        <v>115188.76</v>
      </c>
      <c r="C1555">
        <v>112.9080676</v>
      </c>
      <c r="D1555" s="2">
        <v>9.4</v>
      </c>
      <c r="E1555" s="2">
        <v>24.7</v>
      </c>
      <c r="F1555" s="2">
        <v>10.9</v>
      </c>
      <c r="G1555" s="2">
        <v>0</v>
      </c>
      <c r="H1555" s="2" t="str">
        <f>VLOOKUP(A1555,Holidays!$A$2:$B$2107,2,1)</f>
        <v>Y</v>
      </c>
      <c r="I1555" s="2" t="str">
        <f>VLOOKUP(A1555,Holidays!$A$2:$C$2107,3,1)</f>
        <v>N</v>
      </c>
    </row>
    <row r="1556" spans="1:9" x14ac:dyDescent="0.45">
      <c r="A1556" s="1">
        <v>43559</v>
      </c>
      <c r="B1556">
        <v>113763.83500000001</v>
      </c>
      <c r="C1556">
        <v>116.75648839999999</v>
      </c>
      <c r="D1556" s="2">
        <v>13.3</v>
      </c>
      <c r="E1556" s="2">
        <v>21.9</v>
      </c>
      <c r="F1556" s="2">
        <v>13.9</v>
      </c>
      <c r="G1556" s="2">
        <v>0</v>
      </c>
      <c r="H1556" s="2" t="str">
        <f>VLOOKUP(A1556,Holidays!$A$2:$B$2107,2,1)</f>
        <v>Y</v>
      </c>
      <c r="I1556" s="2" t="str">
        <f>VLOOKUP(A1556,Holidays!$A$2:$C$2107,3,1)</f>
        <v>N</v>
      </c>
    </row>
    <row r="1557" spans="1:9" x14ac:dyDescent="0.45">
      <c r="A1557" s="1">
        <v>43560</v>
      </c>
      <c r="B1557">
        <v>111484.73</v>
      </c>
      <c r="C1557">
        <v>98.530301969999996</v>
      </c>
      <c r="D1557" s="2">
        <v>14.4</v>
      </c>
      <c r="E1557" s="2">
        <v>28.5</v>
      </c>
      <c r="F1557" s="2">
        <v>15.3</v>
      </c>
      <c r="G1557" s="2">
        <v>0</v>
      </c>
      <c r="H1557" s="2" t="str">
        <f>VLOOKUP(A1557,Holidays!$A$2:$B$2107,2,1)</f>
        <v>N</v>
      </c>
      <c r="I1557" s="2" t="str">
        <f>VLOOKUP(A1557,Holidays!$A$2:$C$2107,3,1)</f>
        <v>N</v>
      </c>
    </row>
    <row r="1558" spans="1:9" x14ac:dyDescent="0.45">
      <c r="A1558" s="1">
        <v>43561</v>
      </c>
      <c r="B1558">
        <v>102229.645</v>
      </c>
      <c r="C1558">
        <v>103.2729949</v>
      </c>
      <c r="D1558" s="2">
        <v>16.5</v>
      </c>
      <c r="E1558" s="2">
        <v>20.100000000000001</v>
      </c>
      <c r="F1558" s="2">
        <v>12.4</v>
      </c>
      <c r="G1558" s="2">
        <v>0</v>
      </c>
      <c r="H1558" s="2" t="str">
        <f>VLOOKUP(A1558,Holidays!$A$2:$B$2107,2,1)</f>
        <v>N</v>
      </c>
      <c r="I1558" s="2" t="str">
        <f>VLOOKUP(A1558,Holidays!$A$2:$C$2107,3,1)</f>
        <v>N</v>
      </c>
    </row>
    <row r="1559" spans="1:9" x14ac:dyDescent="0.45">
      <c r="A1559" s="1">
        <v>43562</v>
      </c>
      <c r="B1559">
        <v>93590.425000000003</v>
      </c>
      <c r="C1559">
        <v>86.802686010000002</v>
      </c>
      <c r="D1559" s="2">
        <v>9.5</v>
      </c>
      <c r="E1559" s="2">
        <v>26.5</v>
      </c>
      <c r="F1559" s="2">
        <v>15.9</v>
      </c>
      <c r="G1559" s="2">
        <v>0</v>
      </c>
      <c r="H1559" s="2" t="str">
        <f>VLOOKUP(A1559,Holidays!$A$2:$B$2107,2,1)</f>
        <v>N</v>
      </c>
      <c r="I1559" s="2" t="str">
        <f>VLOOKUP(A1559,Holidays!$A$2:$C$2107,3,1)</f>
        <v>N</v>
      </c>
    </row>
    <row r="1560" spans="1:9" x14ac:dyDescent="0.45">
      <c r="A1560" s="1">
        <v>43563</v>
      </c>
      <c r="B1560">
        <v>108543.63499999999</v>
      </c>
      <c r="C1560">
        <v>113.1340539</v>
      </c>
      <c r="D1560" s="2">
        <v>12.5</v>
      </c>
      <c r="E1560" s="2">
        <v>23.1</v>
      </c>
      <c r="F1560" s="2">
        <v>9</v>
      </c>
      <c r="G1560" s="2">
        <v>0</v>
      </c>
      <c r="H1560" s="2" t="str">
        <f>VLOOKUP(A1560,Holidays!$A$2:$B$2107,2,1)</f>
        <v>N</v>
      </c>
      <c r="I1560" s="2" t="str">
        <f>VLOOKUP(A1560,Holidays!$A$2:$C$2107,3,1)</f>
        <v>N</v>
      </c>
    </row>
    <row r="1561" spans="1:9" x14ac:dyDescent="0.45">
      <c r="A1561" s="1">
        <v>43564</v>
      </c>
      <c r="B1561">
        <v>111999.03999999999</v>
      </c>
      <c r="C1561">
        <v>106.3359468</v>
      </c>
      <c r="D1561" s="2">
        <v>11.1</v>
      </c>
      <c r="E1561" s="2">
        <v>16.3</v>
      </c>
      <c r="F1561" s="2">
        <v>13.9</v>
      </c>
      <c r="G1561" s="2">
        <v>1.6</v>
      </c>
      <c r="H1561" s="2" t="str">
        <f>VLOOKUP(A1561,Holidays!$A$2:$B$2107,2,1)</f>
        <v>N</v>
      </c>
      <c r="I1561" s="2" t="str">
        <f>VLOOKUP(A1561,Holidays!$A$2:$C$2107,3,1)</f>
        <v>N</v>
      </c>
    </row>
    <row r="1562" spans="1:9" x14ac:dyDescent="0.45">
      <c r="A1562" s="1">
        <v>43565</v>
      </c>
      <c r="B1562">
        <v>120858.98</v>
      </c>
      <c r="C1562">
        <v>121.87513629999999</v>
      </c>
      <c r="D1562" s="2">
        <v>10.7</v>
      </c>
      <c r="E1562" s="2">
        <v>15.8</v>
      </c>
      <c r="F1562" s="2">
        <v>4.8</v>
      </c>
      <c r="G1562" s="2">
        <v>1.4</v>
      </c>
      <c r="H1562" s="2" t="str">
        <f>VLOOKUP(A1562,Holidays!$A$2:$B$2107,2,1)</f>
        <v>N</v>
      </c>
      <c r="I1562" s="2" t="str">
        <f>VLOOKUP(A1562,Holidays!$A$2:$C$2107,3,1)</f>
        <v>N</v>
      </c>
    </row>
    <row r="1563" spans="1:9" x14ac:dyDescent="0.45">
      <c r="A1563" s="1">
        <v>43566</v>
      </c>
      <c r="B1563">
        <v>116890.61</v>
      </c>
      <c r="C1563">
        <v>126.8896051</v>
      </c>
      <c r="D1563" s="2">
        <v>11.3</v>
      </c>
      <c r="E1563" s="2">
        <v>17.3</v>
      </c>
      <c r="F1563" s="2">
        <v>14.4</v>
      </c>
      <c r="G1563" s="2">
        <v>0</v>
      </c>
      <c r="H1563" s="2" t="str">
        <f>VLOOKUP(A1563,Holidays!$A$2:$B$2107,2,1)</f>
        <v>N</v>
      </c>
      <c r="I1563" s="2" t="str">
        <f>VLOOKUP(A1563,Holidays!$A$2:$C$2107,3,1)</f>
        <v>N</v>
      </c>
    </row>
    <row r="1564" spans="1:9" x14ac:dyDescent="0.45">
      <c r="A1564" s="1">
        <v>43567</v>
      </c>
      <c r="B1564">
        <v>114848.77</v>
      </c>
      <c r="C1564">
        <v>128.7232047</v>
      </c>
      <c r="D1564" s="2">
        <v>6.7</v>
      </c>
      <c r="E1564" s="2">
        <v>24.9</v>
      </c>
      <c r="F1564" s="2">
        <v>15.3</v>
      </c>
      <c r="G1564" s="2">
        <v>0.2</v>
      </c>
      <c r="H1564" s="2" t="str">
        <f>VLOOKUP(A1564,Holidays!$A$2:$B$2107,2,1)</f>
        <v>N</v>
      </c>
      <c r="I1564" s="2" t="str">
        <f>VLOOKUP(A1564,Holidays!$A$2:$C$2107,3,1)</f>
        <v>N</v>
      </c>
    </row>
    <row r="1565" spans="1:9" x14ac:dyDescent="0.45">
      <c r="A1565" s="1">
        <v>43568</v>
      </c>
      <c r="B1565">
        <v>105963.55499999999</v>
      </c>
      <c r="C1565">
        <v>122.44216059999999</v>
      </c>
      <c r="D1565" s="2">
        <v>10.5</v>
      </c>
      <c r="E1565" s="2">
        <v>20.7</v>
      </c>
      <c r="F1565" s="2">
        <v>10</v>
      </c>
      <c r="G1565" s="2">
        <v>0</v>
      </c>
      <c r="H1565" s="2" t="str">
        <f>VLOOKUP(A1565,Holidays!$A$2:$B$2107,2,1)</f>
        <v>N</v>
      </c>
      <c r="I1565" s="2" t="str">
        <f>VLOOKUP(A1565,Holidays!$A$2:$C$2107,3,1)</f>
        <v>N</v>
      </c>
    </row>
    <row r="1566" spans="1:9" x14ac:dyDescent="0.45">
      <c r="A1566" s="1">
        <v>43569</v>
      </c>
      <c r="B1566">
        <v>98680</v>
      </c>
      <c r="C1566">
        <v>111.731646</v>
      </c>
      <c r="D1566" s="2">
        <v>11.8</v>
      </c>
      <c r="E1566" s="2">
        <v>22.5</v>
      </c>
      <c r="F1566" s="2">
        <v>14.4</v>
      </c>
      <c r="G1566" s="2">
        <v>0</v>
      </c>
      <c r="H1566" s="2" t="str">
        <f>VLOOKUP(A1566,Holidays!$A$2:$B$2107,2,1)</f>
        <v>N</v>
      </c>
      <c r="I1566" s="2" t="str">
        <f>VLOOKUP(A1566,Holidays!$A$2:$C$2107,3,1)</f>
        <v>N</v>
      </c>
    </row>
    <row r="1567" spans="1:9" x14ac:dyDescent="0.45">
      <c r="A1567" s="1">
        <v>43570</v>
      </c>
      <c r="B1567">
        <v>114194.955</v>
      </c>
      <c r="C1567">
        <v>113.1121728</v>
      </c>
      <c r="D1567" s="2">
        <v>12.9</v>
      </c>
      <c r="E1567" s="2">
        <v>27.4</v>
      </c>
      <c r="F1567" s="2">
        <v>10.9</v>
      </c>
      <c r="G1567" s="2">
        <v>0</v>
      </c>
      <c r="H1567" s="2" t="str">
        <f>VLOOKUP(A1567,Holidays!$A$2:$B$2107,2,1)</f>
        <v>N</v>
      </c>
      <c r="I1567" s="2" t="str">
        <f>VLOOKUP(A1567,Holidays!$A$2:$C$2107,3,1)</f>
        <v>N</v>
      </c>
    </row>
    <row r="1568" spans="1:9" x14ac:dyDescent="0.45">
      <c r="A1568" s="1">
        <v>43571</v>
      </c>
      <c r="B1568">
        <v>115392.875</v>
      </c>
      <c r="C1568">
        <v>100.00561740000001</v>
      </c>
      <c r="D1568" s="2">
        <v>17.100000000000001</v>
      </c>
      <c r="E1568" s="2">
        <v>30.3</v>
      </c>
      <c r="F1568" s="2">
        <v>14.4</v>
      </c>
      <c r="G1568" s="2">
        <v>0</v>
      </c>
      <c r="H1568" s="2" t="str">
        <f>VLOOKUP(A1568,Holidays!$A$2:$B$2107,2,1)</f>
        <v>N</v>
      </c>
      <c r="I1568" s="2" t="str">
        <f>VLOOKUP(A1568,Holidays!$A$2:$C$2107,3,1)</f>
        <v>N</v>
      </c>
    </row>
    <row r="1569" spans="1:9" x14ac:dyDescent="0.45">
      <c r="A1569" s="1">
        <v>43572</v>
      </c>
      <c r="B1569">
        <v>117281.13</v>
      </c>
      <c r="C1569">
        <v>100.1096387</v>
      </c>
      <c r="D1569" s="2">
        <v>22.1</v>
      </c>
      <c r="E1569" s="2">
        <v>30</v>
      </c>
      <c r="F1569" s="2">
        <v>12.8</v>
      </c>
      <c r="G1569" s="2">
        <v>0</v>
      </c>
      <c r="H1569" s="2" t="str">
        <f>VLOOKUP(A1569,Holidays!$A$2:$B$2107,2,1)</f>
        <v>N</v>
      </c>
      <c r="I1569" s="2" t="str">
        <f>VLOOKUP(A1569,Holidays!$A$2:$C$2107,3,1)</f>
        <v>N</v>
      </c>
    </row>
    <row r="1570" spans="1:9" x14ac:dyDescent="0.45">
      <c r="A1570" s="1">
        <v>43573</v>
      </c>
      <c r="B1570">
        <v>111360.065</v>
      </c>
      <c r="C1570">
        <v>84.833863710000003</v>
      </c>
      <c r="D1570" s="2">
        <v>13.2</v>
      </c>
      <c r="E1570" s="2">
        <v>17.7</v>
      </c>
      <c r="F1570" s="2">
        <v>12.8</v>
      </c>
      <c r="G1570" s="2">
        <v>0</v>
      </c>
      <c r="H1570" s="2" t="str">
        <f>VLOOKUP(A1570,Holidays!$A$2:$B$2107,2,1)</f>
        <v>N</v>
      </c>
      <c r="I1570" s="2" t="str">
        <f>VLOOKUP(A1570,Holidays!$A$2:$C$2107,3,1)</f>
        <v>N</v>
      </c>
    </row>
    <row r="1571" spans="1:9" x14ac:dyDescent="0.45">
      <c r="A1571" s="1">
        <v>43574</v>
      </c>
      <c r="B1571">
        <v>95967.404999999999</v>
      </c>
      <c r="C1571">
        <v>78.14244558</v>
      </c>
      <c r="D1571" s="2">
        <v>8.6</v>
      </c>
      <c r="E1571" s="2">
        <v>22.1</v>
      </c>
      <c r="F1571" s="2">
        <v>14</v>
      </c>
      <c r="G1571" s="2">
        <v>0</v>
      </c>
      <c r="H1571" s="2" t="str">
        <f>VLOOKUP(A1571,Holidays!$A$2:$B$2107,2,1)</f>
        <v>N</v>
      </c>
      <c r="I1571" s="2" t="str">
        <f>VLOOKUP(A1571,Holidays!$A$2:$C$2107,3,1)</f>
        <v>Y</v>
      </c>
    </row>
    <row r="1572" spans="1:9" x14ac:dyDescent="0.45">
      <c r="A1572" s="1">
        <v>43575</v>
      </c>
      <c r="B1572">
        <v>95654.36</v>
      </c>
      <c r="C1572">
        <v>66.874813889999999</v>
      </c>
      <c r="D1572" s="2">
        <v>10.199999999999999</v>
      </c>
      <c r="E1572" s="2">
        <v>30.2</v>
      </c>
      <c r="F1572" s="2">
        <v>13.9</v>
      </c>
      <c r="G1572" s="2">
        <v>0</v>
      </c>
      <c r="H1572" s="2" t="str">
        <f>VLOOKUP(A1572,Holidays!$A$2:$B$2107,2,1)</f>
        <v>N</v>
      </c>
      <c r="I1572" s="2" t="str">
        <f>VLOOKUP(A1572,Holidays!$A$2:$C$2107,3,1)</f>
        <v>Y</v>
      </c>
    </row>
    <row r="1573" spans="1:9" x14ac:dyDescent="0.45">
      <c r="A1573" s="1">
        <v>43576</v>
      </c>
      <c r="B1573">
        <v>94810.664999999994</v>
      </c>
      <c r="C1573">
        <v>80.076258480000007</v>
      </c>
      <c r="D1573" s="2">
        <v>14.8</v>
      </c>
      <c r="E1573" s="2">
        <v>27</v>
      </c>
      <c r="F1573" s="2">
        <v>7.5</v>
      </c>
      <c r="G1573" s="2">
        <v>0</v>
      </c>
      <c r="H1573" s="2" t="str">
        <f>VLOOKUP(A1573,Holidays!$A$2:$B$2107,2,1)</f>
        <v>N</v>
      </c>
      <c r="I1573" s="2" t="str">
        <f>VLOOKUP(A1573,Holidays!$A$2:$C$2107,3,1)</f>
        <v>Y</v>
      </c>
    </row>
    <row r="1574" spans="1:9" x14ac:dyDescent="0.45">
      <c r="A1574" s="1">
        <v>43577</v>
      </c>
      <c r="B1574">
        <v>100246.51</v>
      </c>
      <c r="C1574">
        <v>95.107386919999996</v>
      </c>
      <c r="D1574" s="2">
        <v>13.7</v>
      </c>
      <c r="E1574" s="2">
        <v>17.600000000000001</v>
      </c>
      <c r="F1574" s="2">
        <v>6</v>
      </c>
      <c r="G1574" s="2">
        <v>0.8</v>
      </c>
      <c r="H1574" s="2" t="str">
        <f>VLOOKUP(A1574,Holidays!$A$2:$B$2107,2,1)</f>
        <v>N</v>
      </c>
      <c r="I1574" s="2" t="str">
        <f>VLOOKUP(A1574,Holidays!$A$2:$C$2107,3,1)</f>
        <v>Y</v>
      </c>
    </row>
    <row r="1575" spans="1:9" x14ac:dyDescent="0.45">
      <c r="A1575" s="1">
        <v>43578</v>
      </c>
      <c r="B1575">
        <v>114240.88499999999</v>
      </c>
      <c r="C1575">
        <v>89.628985839999999</v>
      </c>
      <c r="D1575" s="2">
        <v>11.1</v>
      </c>
      <c r="E1575" s="2">
        <v>18.5</v>
      </c>
      <c r="F1575" s="2">
        <v>8</v>
      </c>
      <c r="G1575" s="2">
        <v>0</v>
      </c>
      <c r="H1575" s="2" t="str">
        <f>VLOOKUP(A1575,Holidays!$A$2:$B$2107,2,1)</f>
        <v>N</v>
      </c>
      <c r="I1575" s="2" t="str">
        <f>VLOOKUP(A1575,Holidays!$A$2:$C$2107,3,1)</f>
        <v>N</v>
      </c>
    </row>
    <row r="1576" spans="1:9" x14ac:dyDescent="0.45">
      <c r="A1576" s="1">
        <v>43579</v>
      </c>
      <c r="B1576">
        <v>113264.23</v>
      </c>
      <c r="C1576">
        <v>86.749292839999995</v>
      </c>
      <c r="D1576" s="2">
        <v>14.6</v>
      </c>
      <c r="E1576" s="2">
        <v>23.2</v>
      </c>
      <c r="F1576" s="2">
        <v>8.1999999999999993</v>
      </c>
      <c r="G1576" s="2">
        <v>0</v>
      </c>
      <c r="H1576" s="2" t="str">
        <f>VLOOKUP(A1576,Holidays!$A$2:$B$2107,2,1)</f>
        <v>Y</v>
      </c>
      <c r="I1576" s="2" t="str">
        <f>VLOOKUP(A1576,Holidays!$A$2:$C$2107,3,1)</f>
        <v>N</v>
      </c>
    </row>
    <row r="1577" spans="1:9" x14ac:dyDescent="0.45">
      <c r="A1577" s="1">
        <v>43580</v>
      </c>
      <c r="B1577">
        <v>98112.464999999997</v>
      </c>
      <c r="C1577">
        <v>62.60573067</v>
      </c>
      <c r="D1577" s="2">
        <v>10.199999999999999</v>
      </c>
      <c r="E1577" s="2">
        <v>21.5</v>
      </c>
      <c r="F1577" s="2">
        <v>10.6</v>
      </c>
      <c r="G1577" s="2">
        <v>0</v>
      </c>
      <c r="H1577" s="2" t="str">
        <f>VLOOKUP(A1577,Holidays!$A$2:$B$2107,2,1)</f>
        <v>Y</v>
      </c>
      <c r="I1577" s="2" t="str">
        <f>VLOOKUP(A1577,Holidays!$A$2:$C$2107,3,1)</f>
        <v>Y</v>
      </c>
    </row>
    <row r="1578" spans="1:9" x14ac:dyDescent="0.45">
      <c r="A1578" s="1">
        <v>43581</v>
      </c>
      <c r="B1578">
        <v>107226.59</v>
      </c>
      <c r="C1578">
        <v>60.918382540000003</v>
      </c>
      <c r="D1578" s="2">
        <v>11.9</v>
      </c>
      <c r="E1578" s="2">
        <v>15.8</v>
      </c>
      <c r="F1578" s="2">
        <v>6.9</v>
      </c>
      <c r="G1578" s="2">
        <v>3</v>
      </c>
      <c r="H1578" s="2" t="str">
        <f>VLOOKUP(A1578,Holidays!$A$2:$B$2107,2,1)</f>
        <v>Y</v>
      </c>
      <c r="I1578" s="2" t="str">
        <f>VLOOKUP(A1578,Holidays!$A$2:$C$2107,3,1)</f>
        <v>N</v>
      </c>
    </row>
    <row r="1579" spans="1:9" x14ac:dyDescent="0.45">
      <c r="A1579" s="1">
        <v>43582</v>
      </c>
      <c r="B1579">
        <v>105374.93</v>
      </c>
      <c r="C1579">
        <v>79.620085979999999</v>
      </c>
      <c r="D1579" s="2">
        <v>8.6999999999999993</v>
      </c>
      <c r="E1579" s="2">
        <v>16.2</v>
      </c>
      <c r="F1579" s="2">
        <v>8.5</v>
      </c>
      <c r="G1579" s="2">
        <v>0</v>
      </c>
      <c r="H1579" s="2" t="str">
        <f>VLOOKUP(A1579,Holidays!$A$2:$B$2107,2,1)</f>
        <v>Y</v>
      </c>
      <c r="I1579" s="2" t="str">
        <f>VLOOKUP(A1579,Holidays!$A$2:$C$2107,3,1)</f>
        <v>N</v>
      </c>
    </row>
    <row r="1580" spans="1:9" x14ac:dyDescent="0.45">
      <c r="A1580" s="1">
        <v>43583</v>
      </c>
      <c r="B1580">
        <v>101057.43</v>
      </c>
      <c r="C1580">
        <v>86.022860620000003</v>
      </c>
      <c r="D1580" s="2">
        <v>12.4</v>
      </c>
      <c r="E1580" s="2">
        <v>17.399999999999999</v>
      </c>
      <c r="F1580" s="2">
        <v>5.2</v>
      </c>
      <c r="G1580" s="2">
        <v>0</v>
      </c>
      <c r="H1580" s="2" t="str">
        <f>VLOOKUP(A1580,Holidays!$A$2:$B$2107,2,1)</f>
        <v>Y</v>
      </c>
      <c r="I1580" s="2" t="str">
        <f>VLOOKUP(A1580,Holidays!$A$2:$C$2107,3,1)</f>
        <v>N</v>
      </c>
    </row>
    <row r="1581" spans="1:9" x14ac:dyDescent="0.45">
      <c r="A1581" s="1">
        <v>43584</v>
      </c>
      <c r="B1581">
        <v>118307.52499999999</v>
      </c>
      <c r="C1581">
        <v>121.0296417</v>
      </c>
      <c r="D1581" s="2">
        <v>11.5</v>
      </c>
      <c r="E1581" s="2">
        <v>18.100000000000001</v>
      </c>
      <c r="F1581" s="2">
        <v>8.4</v>
      </c>
      <c r="G1581" s="2">
        <v>0</v>
      </c>
      <c r="H1581" s="2" t="str">
        <f>VLOOKUP(A1581,Holidays!$A$2:$B$2107,2,1)</f>
        <v>Y</v>
      </c>
      <c r="I1581" s="2" t="str">
        <f>VLOOKUP(A1581,Holidays!$A$2:$C$2107,3,1)</f>
        <v>N</v>
      </c>
    </row>
    <row r="1582" spans="1:9" x14ac:dyDescent="0.45">
      <c r="A1582" s="1">
        <v>43585</v>
      </c>
      <c r="B1582">
        <v>110515.6</v>
      </c>
      <c r="C1582">
        <v>96.951705770000004</v>
      </c>
      <c r="D1582" s="2">
        <v>7.9</v>
      </c>
      <c r="E1582" s="2">
        <v>23.1</v>
      </c>
      <c r="F1582" s="2">
        <v>11.7</v>
      </c>
      <c r="G1582" s="2">
        <v>0</v>
      </c>
      <c r="H1582" s="2" t="str">
        <f>VLOOKUP(A1582,Holidays!$A$2:$B$2107,2,1)</f>
        <v>Y</v>
      </c>
      <c r="I1582" s="2" t="str">
        <f>VLOOKUP(A1582,Holidays!$A$2:$C$2107,3,1)</f>
        <v>N</v>
      </c>
    </row>
    <row r="1583" spans="1:9" x14ac:dyDescent="0.45">
      <c r="A1583" s="1">
        <v>43586</v>
      </c>
      <c r="B1583">
        <v>111462.38499999999</v>
      </c>
      <c r="C1583">
        <v>90.563836899999998</v>
      </c>
      <c r="D1583" s="2">
        <v>15.6</v>
      </c>
      <c r="E1583" s="2">
        <v>22.8</v>
      </c>
      <c r="F1583" s="2">
        <v>7.8</v>
      </c>
      <c r="G1583" s="2">
        <v>0</v>
      </c>
      <c r="H1583" s="2" t="str">
        <f>VLOOKUP(A1583,Holidays!$A$2:$B$2107,2,1)</f>
        <v>Y</v>
      </c>
      <c r="I1583" s="2" t="str">
        <f>VLOOKUP(A1583,Holidays!$A$2:$C$2107,3,1)</f>
        <v>N</v>
      </c>
    </row>
    <row r="1584" spans="1:9" x14ac:dyDescent="0.45">
      <c r="A1584" s="1">
        <v>43587</v>
      </c>
      <c r="B1584">
        <v>112948.4</v>
      </c>
      <c r="C1584">
        <v>103.58661480000001</v>
      </c>
      <c r="D1584" s="2">
        <v>17.100000000000001</v>
      </c>
      <c r="E1584" s="2">
        <v>20.2</v>
      </c>
      <c r="F1584" s="2">
        <v>6.2</v>
      </c>
      <c r="G1584" s="2">
        <v>3.6</v>
      </c>
      <c r="H1584" s="2" t="str">
        <f>VLOOKUP(A1584,Holidays!$A$2:$B$2107,2,1)</f>
        <v>Y</v>
      </c>
      <c r="I1584" s="2" t="str">
        <f>VLOOKUP(A1584,Holidays!$A$2:$C$2107,3,1)</f>
        <v>N</v>
      </c>
    </row>
    <row r="1585" spans="1:9" x14ac:dyDescent="0.45">
      <c r="A1585" s="1">
        <v>43588</v>
      </c>
      <c r="B1585">
        <v>110902.185</v>
      </c>
      <c r="C1585">
        <v>101.1629982</v>
      </c>
      <c r="D1585" s="2">
        <v>11.8</v>
      </c>
      <c r="E1585" s="2">
        <v>20.7</v>
      </c>
      <c r="F1585" s="2">
        <v>9</v>
      </c>
      <c r="G1585" s="2">
        <v>0.2</v>
      </c>
      <c r="H1585" s="2" t="str">
        <f>VLOOKUP(A1585,Holidays!$A$2:$B$2107,2,1)</f>
        <v>Y</v>
      </c>
      <c r="I1585" s="2" t="str">
        <f>VLOOKUP(A1585,Holidays!$A$2:$C$2107,3,1)</f>
        <v>N</v>
      </c>
    </row>
    <row r="1586" spans="1:9" x14ac:dyDescent="0.45">
      <c r="A1586" s="1">
        <v>43589</v>
      </c>
      <c r="B1586">
        <v>103616.145</v>
      </c>
      <c r="C1586">
        <v>103.38349669999999</v>
      </c>
      <c r="D1586" s="2">
        <v>13</v>
      </c>
      <c r="E1586" s="2">
        <v>16.399999999999999</v>
      </c>
      <c r="F1586" s="2">
        <v>8.1999999999999993</v>
      </c>
      <c r="G1586" s="2">
        <v>0.2</v>
      </c>
      <c r="H1586" s="2" t="str">
        <f>VLOOKUP(A1586,Holidays!$A$2:$B$2107,2,1)</f>
        <v>Y</v>
      </c>
      <c r="I1586" s="2" t="str">
        <f>VLOOKUP(A1586,Holidays!$A$2:$C$2107,3,1)</f>
        <v>N</v>
      </c>
    </row>
    <row r="1587" spans="1:9" x14ac:dyDescent="0.45">
      <c r="A1587" s="1">
        <v>43590</v>
      </c>
      <c r="B1587">
        <v>104770.705</v>
      </c>
      <c r="C1587">
        <v>108.09555589999999</v>
      </c>
      <c r="D1587" s="2">
        <v>11.3</v>
      </c>
      <c r="E1587" s="2">
        <v>16.3</v>
      </c>
      <c r="F1587" s="2">
        <v>6.5</v>
      </c>
      <c r="G1587" s="2">
        <v>2</v>
      </c>
      <c r="H1587" s="2" t="str">
        <f>VLOOKUP(A1587,Holidays!$A$2:$B$2107,2,1)</f>
        <v>Y</v>
      </c>
      <c r="I1587" s="2" t="str">
        <f>VLOOKUP(A1587,Holidays!$A$2:$C$2107,3,1)</f>
        <v>N</v>
      </c>
    </row>
    <row r="1588" spans="1:9" x14ac:dyDescent="0.45">
      <c r="A1588" s="1">
        <v>43591</v>
      </c>
      <c r="B1588">
        <v>121535.485</v>
      </c>
      <c r="C1588">
        <v>112.50558460000001</v>
      </c>
      <c r="D1588" s="2">
        <v>11.7</v>
      </c>
      <c r="E1588" s="2">
        <v>16.7</v>
      </c>
      <c r="F1588" s="2">
        <v>8.5</v>
      </c>
      <c r="G1588" s="2">
        <v>0.2</v>
      </c>
      <c r="H1588" s="2" t="str">
        <f>VLOOKUP(A1588,Holidays!$A$2:$B$2107,2,1)</f>
        <v>Y</v>
      </c>
      <c r="I1588" s="2" t="str">
        <f>VLOOKUP(A1588,Holidays!$A$2:$C$2107,3,1)</f>
        <v>N</v>
      </c>
    </row>
    <row r="1589" spans="1:9" x14ac:dyDescent="0.45">
      <c r="A1589" s="1">
        <v>43592</v>
      </c>
      <c r="B1589">
        <v>116318.435</v>
      </c>
      <c r="C1589">
        <v>94.753714479999999</v>
      </c>
      <c r="D1589" s="2">
        <v>7.4</v>
      </c>
      <c r="E1589" s="2">
        <v>18.7</v>
      </c>
      <c r="F1589" s="2">
        <v>11.7</v>
      </c>
      <c r="G1589" s="2">
        <v>0</v>
      </c>
      <c r="H1589" s="2" t="str">
        <f>VLOOKUP(A1589,Holidays!$A$2:$B$2107,2,1)</f>
        <v>Y</v>
      </c>
      <c r="I1589" s="2" t="str">
        <f>VLOOKUP(A1589,Holidays!$A$2:$C$2107,3,1)</f>
        <v>N</v>
      </c>
    </row>
    <row r="1590" spans="1:9" x14ac:dyDescent="0.45">
      <c r="A1590" s="1">
        <v>43593</v>
      </c>
      <c r="B1590">
        <v>118801.84</v>
      </c>
      <c r="C1590">
        <v>114.5284513</v>
      </c>
      <c r="D1590" s="2">
        <v>10.3</v>
      </c>
      <c r="E1590" s="2">
        <v>17.399999999999999</v>
      </c>
      <c r="F1590" s="2">
        <v>7.3</v>
      </c>
      <c r="G1590" s="2">
        <v>5.2</v>
      </c>
      <c r="H1590" s="2" t="str">
        <f>VLOOKUP(A1590,Holidays!$A$2:$B$2107,2,1)</f>
        <v>Y</v>
      </c>
      <c r="I1590" s="2" t="str">
        <f>VLOOKUP(A1590,Holidays!$A$2:$C$2107,3,1)</f>
        <v>N</v>
      </c>
    </row>
    <row r="1591" spans="1:9" x14ac:dyDescent="0.45">
      <c r="A1591" s="1">
        <v>43594</v>
      </c>
      <c r="B1591">
        <v>122003.33500000001</v>
      </c>
      <c r="C1591">
        <v>113.6303305</v>
      </c>
      <c r="D1591" s="2">
        <v>9.6999999999999993</v>
      </c>
      <c r="E1591" s="2">
        <v>16.2</v>
      </c>
      <c r="F1591" s="2">
        <v>5.3</v>
      </c>
      <c r="G1591" s="2">
        <v>0.6</v>
      </c>
      <c r="H1591" s="2" t="str">
        <f>VLOOKUP(A1591,Holidays!$A$2:$B$2107,2,1)</f>
        <v>Y</v>
      </c>
      <c r="I1591" s="2" t="str">
        <f>VLOOKUP(A1591,Holidays!$A$2:$C$2107,3,1)</f>
        <v>N</v>
      </c>
    </row>
    <row r="1592" spans="1:9" x14ac:dyDescent="0.45">
      <c r="A1592" s="1">
        <v>43595</v>
      </c>
      <c r="B1592">
        <v>123850.86</v>
      </c>
      <c r="C1592">
        <v>93.135276869999998</v>
      </c>
      <c r="D1592" s="2">
        <v>10.199999999999999</v>
      </c>
      <c r="E1592" s="2">
        <v>14.2</v>
      </c>
      <c r="F1592" s="2">
        <v>2.8</v>
      </c>
      <c r="G1592" s="2">
        <v>7.2</v>
      </c>
      <c r="H1592" s="2" t="str">
        <f>VLOOKUP(A1592,Holidays!$A$2:$B$2107,2,1)</f>
        <v>Y</v>
      </c>
      <c r="I1592" s="2" t="str">
        <f>VLOOKUP(A1592,Holidays!$A$2:$C$2107,3,1)</f>
        <v>N</v>
      </c>
    </row>
    <row r="1593" spans="1:9" x14ac:dyDescent="0.45">
      <c r="A1593" s="1">
        <v>43596</v>
      </c>
      <c r="B1593">
        <v>113186.735</v>
      </c>
      <c r="C1593">
        <v>87.036533050000003</v>
      </c>
      <c r="D1593" s="2">
        <v>10.199999999999999</v>
      </c>
      <c r="E1593" s="2">
        <v>16.399999999999999</v>
      </c>
      <c r="F1593" s="2">
        <v>7.7</v>
      </c>
      <c r="G1593" s="2">
        <v>8.1999999999999993</v>
      </c>
      <c r="H1593" s="2" t="str">
        <f>VLOOKUP(A1593,Holidays!$A$2:$B$2107,2,1)</f>
        <v>Y</v>
      </c>
      <c r="I1593" s="2" t="str">
        <f>VLOOKUP(A1593,Holidays!$A$2:$C$2107,3,1)</f>
        <v>N</v>
      </c>
    </row>
    <row r="1594" spans="1:9" x14ac:dyDescent="0.45">
      <c r="A1594" s="1">
        <v>43597</v>
      </c>
      <c r="B1594">
        <v>110416.88</v>
      </c>
      <c r="C1594">
        <v>87.377381740000004</v>
      </c>
      <c r="D1594" s="2">
        <v>12.2</v>
      </c>
      <c r="E1594" s="2">
        <v>17.7</v>
      </c>
      <c r="F1594" s="2">
        <v>6.6</v>
      </c>
      <c r="G1594" s="2">
        <v>0</v>
      </c>
      <c r="H1594" s="2" t="str">
        <f>VLOOKUP(A1594,Holidays!$A$2:$B$2107,2,1)</f>
        <v>Y</v>
      </c>
      <c r="I1594" s="2" t="str">
        <f>VLOOKUP(A1594,Holidays!$A$2:$C$2107,3,1)</f>
        <v>N</v>
      </c>
    </row>
    <row r="1595" spans="1:9" x14ac:dyDescent="0.45">
      <c r="A1595" s="1">
        <v>43598</v>
      </c>
      <c r="B1595">
        <v>119598.605</v>
      </c>
      <c r="C1595">
        <v>77.157376979999995</v>
      </c>
      <c r="D1595" s="2">
        <v>12.7</v>
      </c>
      <c r="E1595" s="2">
        <v>18.100000000000001</v>
      </c>
      <c r="F1595" s="2">
        <v>8.3000000000000007</v>
      </c>
      <c r="G1595" s="2">
        <v>0</v>
      </c>
      <c r="H1595" s="2" t="str">
        <f>VLOOKUP(A1595,Holidays!$A$2:$B$2107,2,1)</f>
        <v>Y</v>
      </c>
      <c r="I1595" s="2" t="str">
        <f>VLOOKUP(A1595,Holidays!$A$2:$C$2107,3,1)</f>
        <v>N</v>
      </c>
    </row>
    <row r="1596" spans="1:9" x14ac:dyDescent="0.45">
      <c r="A1596" s="1">
        <v>43599</v>
      </c>
      <c r="B1596">
        <v>123005.31</v>
      </c>
      <c r="C1596">
        <v>89.82269178</v>
      </c>
      <c r="D1596" s="2">
        <v>11.3</v>
      </c>
      <c r="E1596" s="2">
        <v>20.2</v>
      </c>
      <c r="F1596" s="2">
        <v>9</v>
      </c>
      <c r="G1596" s="2">
        <v>0</v>
      </c>
      <c r="H1596" s="2" t="str">
        <f>VLOOKUP(A1596,Holidays!$A$2:$B$2107,2,1)</f>
        <v>Y</v>
      </c>
      <c r="I1596" s="2" t="str">
        <f>VLOOKUP(A1596,Holidays!$A$2:$C$2107,3,1)</f>
        <v>N</v>
      </c>
    </row>
    <row r="1597" spans="1:9" x14ac:dyDescent="0.45">
      <c r="A1597" s="1">
        <v>43600</v>
      </c>
      <c r="B1597">
        <v>126264.77499999999</v>
      </c>
      <c r="C1597">
        <v>100.6447738</v>
      </c>
      <c r="D1597" s="2">
        <v>12</v>
      </c>
      <c r="E1597" s="2">
        <v>15.8</v>
      </c>
      <c r="F1597" s="2">
        <v>8</v>
      </c>
      <c r="G1597" s="2">
        <v>0</v>
      </c>
      <c r="H1597" s="2" t="str">
        <f>VLOOKUP(A1597,Holidays!$A$2:$B$2107,2,1)</f>
        <v>Y</v>
      </c>
      <c r="I1597" s="2" t="str">
        <f>VLOOKUP(A1597,Holidays!$A$2:$C$2107,3,1)</f>
        <v>N</v>
      </c>
    </row>
    <row r="1598" spans="1:9" x14ac:dyDescent="0.45">
      <c r="A1598" s="1">
        <v>43601</v>
      </c>
      <c r="B1598">
        <v>127389.485</v>
      </c>
      <c r="C1598">
        <v>98.942964329999995</v>
      </c>
      <c r="D1598" s="2">
        <v>10.5</v>
      </c>
      <c r="E1598" s="2">
        <v>16.100000000000001</v>
      </c>
      <c r="F1598" s="2">
        <v>9.8000000000000007</v>
      </c>
      <c r="G1598" s="2">
        <v>0</v>
      </c>
      <c r="H1598" s="2" t="str">
        <f>VLOOKUP(A1598,Holidays!$A$2:$B$2107,2,1)</f>
        <v>Y</v>
      </c>
      <c r="I1598" s="2" t="str">
        <f>VLOOKUP(A1598,Holidays!$A$2:$C$2107,3,1)</f>
        <v>N</v>
      </c>
    </row>
    <row r="1599" spans="1:9" x14ac:dyDescent="0.45">
      <c r="A1599" s="1">
        <v>43602</v>
      </c>
      <c r="B1599">
        <v>126934.24</v>
      </c>
      <c r="C1599">
        <v>96.783858859999995</v>
      </c>
      <c r="D1599" s="2">
        <v>6.5</v>
      </c>
      <c r="E1599" s="2">
        <v>18.600000000000001</v>
      </c>
      <c r="F1599" s="2">
        <v>10.7</v>
      </c>
      <c r="G1599" s="2">
        <v>0</v>
      </c>
      <c r="H1599" s="2" t="str">
        <f>VLOOKUP(A1599,Holidays!$A$2:$B$2107,2,1)</f>
        <v>Y</v>
      </c>
      <c r="I1599" s="2" t="str">
        <f>VLOOKUP(A1599,Holidays!$A$2:$C$2107,3,1)</f>
        <v>N</v>
      </c>
    </row>
    <row r="1600" spans="1:9" x14ac:dyDescent="0.45">
      <c r="A1600" s="1">
        <v>43603</v>
      </c>
      <c r="B1600">
        <v>112990.63499999999</v>
      </c>
      <c r="C1600">
        <v>86.441785100000004</v>
      </c>
      <c r="D1600" s="2">
        <v>6.2</v>
      </c>
      <c r="E1600" s="2">
        <v>21.5</v>
      </c>
      <c r="F1600" s="2">
        <v>10.6</v>
      </c>
      <c r="G1600" s="2">
        <v>0</v>
      </c>
      <c r="H1600" s="2" t="str">
        <f>VLOOKUP(A1600,Holidays!$A$2:$B$2107,2,1)</f>
        <v>Y</v>
      </c>
      <c r="I1600" s="2" t="str">
        <f>VLOOKUP(A1600,Holidays!$A$2:$C$2107,3,1)</f>
        <v>N</v>
      </c>
    </row>
    <row r="1601" spans="1:9" x14ac:dyDescent="0.45">
      <c r="A1601" s="1">
        <v>43604</v>
      </c>
      <c r="B1601">
        <v>104054.85</v>
      </c>
      <c r="C1601">
        <v>76.294168089999999</v>
      </c>
      <c r="D1601" s="2">
        <v>8.9</v>
      </c>
      <c r="E1601" s="2">
        <v>21.8</v>
      </c>
      <c r="F1601" s="2">
        <v>10</v>
      </c>
      <c r="G1601" s="2">
        <v>0.2</v>
      </c>
      <c r="H1601" s="2" t="str">
        <f>VLOOKUP(A1601,Holidays!$A$2:$B$2107,2,1)</f>
        <v>Y</v>
      </c>
      <c r="I1601" s="2" t="str">
        <f>VLOOKUP(A1601,Holidays!$A$2:$C$2107,3,1)</f>
        <v>N</v>
      </c>
    </row>
    <row r="1602" spans="1:9" x14ac:dyDescent="0.45">
      <c r="A1602" s="1">
        <v>43605</v>
      </c>
      <c r="B1602">
        <v>118733.42</v>
      </c>
      <c r="C1602">
        <v>93.344364299999995</v>
      </c>
      <c r="D1602" s="2">
        <v>12</v>
      </c>
      <c r="E1602" s="2">
        <v>19.600000000000001</v>
      </c>
      <c r="F1602" s="2">
        <v>3.1</v>
      </c>
      <c r="G1602" s="2">
        <v>0.4</v>
      </c>
      <c r="H1602" s="2" t="str">
        <f>VLOOKUP(A1602,Holidays!$A$2:$B$2107,2,1)</f>
        <v>Y</v>
      </c>
      <c r="I1602" s="2" t="str">
        <f>VLOOKUP(A1602,Holidays!$A$2:$C$2107,3,1)</f>
        <v>N</v>
      </c>
    </row>
    <row r="1603" spans="1:9" x14ac:dyDescent="0.45">
      <c r="A1603" s="1">
        <v>43606</v>
      </c>
      <c r="B1603">
        <v>121766.77</v>
      </c>
      <c r="C1603">
        <v>104.5578083</v>
      </c>
      <c r="D1603" s="2">
        <v>11.1</v>
      </c>
      <c r="E1603" s="2">
        <v>20.399999999999999</v>
      </c>
      <c r="F1603" s="2">
        <v>6.9</v>
      </c>
      <c r="G1603" s="2">
        <v>0.4</v>
      </c>
      <c r="H1603" s="2" t="str">
        <f>VLOOKUP(A1603,Holidays!$A$2:$B$2107,2,1)</f>
        <v>Y</v>
      </c>
      <c r="I1603" s="2" t="str">
        <f>VLOOKUP(A1603,Holidays!$A$2:$C$2107,3,1)</f>
        <v>N</v>
      </c>
    </row>
    <row r="1604" spans="1:9" x14ac:dyDescent="0.45">
      <c r="A1604" s="1">
        <v>43607</v>
      </c>
      <c r="B1604">
        <v>122015.59</v>
      </c>
      <c r="C1604">
        <v>115.8944559</v>
      </c>
      <c r="D1604" s="2">
        <v>10.7</v>
      </c>
      <c r="E1604" s="2">
        <v>22.3</v>
      </c>
      <c r="F1604" s="2">
        <v>10.3</v>
      </c>
      <c r="G1604" s="2">
        <v>0</v>
      </c>
      <c r="H1604" s="2" t="str">
        <f>VLOOKUP(A1604,Holidays!$A$2:$B$2107,2,1)</f>
        <v>Y</v>
      </c>
      <c r="I1604" s="2" t="str">
        <f>VLOOKUP(A1604,Holidays!$A$2:$C$2107,3,1)</f>
        <v>N</v>
      </c>
    </row>
    <row r="1605" spans="1:9" x14ac:dyDescent="0.45">
      <c r="A1605" s="1">
        <v>43608</v>
      </c>
      <c r="B1605">
        <v>119118.11</v>
      </c>
      <c r="C1605">
        <v>88.387136190000007</v>
      </c>
      <c r="D1605" s="2">
        <v>9.9</v>
      </c>
      <c r="E1605" s="2">
        <v>21.3</v>
      </c>
      <c r="F1605" s="2">
        <v>10.199999999999999</v>
      </c>
      <c r="G1605" s="2">
        <v>0</v>
      </c>
      <c r="H1605" s="2" t="str">
        <f>VLOOKUP(A1605,Holidays!$A$2:$B$2107,2,1)</f>
        <v>Y</v>
      </c>
      <c r="I1605" s="2" t="str">
        <f>VLOOKUP(A1605,Holidays!$A$2:$C$2107,3,1)</f>
        <v>N</v>
      </c>
    </row>
    <row r="1606" spans="1:9" x14ac:dyDescent="0.45">
      <c r="A1606" s="1">
        <v>43609</v>
      </c>
      <c r="B1606">
        <v>118924.765</v>
      </c>
      <c r="C1606">
        <v>91.547124490000002</v>
      </c>
      <c r="D1606" s="2">
        <v>13.8</v>
      </c>
      <c r="E1606" s="2">
        <v>20.2</v>
      </c>
      <c r="F1606" s="2">
        <v>4.4000000000000004</v>
      </c>
      <c r="G1606" s="2">
        <v>0</v>
      </c>
      <c r="H1606" s="2" t="str">
        <f>VLOOKUP(A1606,Holidays!$A$2:$B$2107,2,1)</f>
        <v>Y</v>
      </c>
      <c r="I1606" s="2" t="str">
        <f>VLOOKUP(A1606,Holidays!$A$2:$C$2107,3,1)</f>
        <v>N</v>
      </c>
    </row>
    <row r="1607" spans="1:9" x14ac:dyDescent="0.45">
      <c r="A1607" s="1">
        <v>43610</v>
      </c>
      <c r="B1607">
        <v>104949.95</v>
      </c>
      <c r="C1607">
        <v>74.262935119999995</v>
      </c>
      <c r="D1607" s="2">
        <v>13.7</v>
      </c>
      <c r="E1607" s="2">
        <v>19.8</v>
      </c>
      <c r="F1607" s="2">
        <v>9.1</v>
      </c>
      <c r="G1607" s="2">
        <v>1.6</v>
      </c>
      <c r="H1607" s="2" t="str">
        <f>VLOOKUP(A1607,Holidays!$A$2:$B$2107,2,1)</f>
        <v>Y</v>
      </c>
      <c r="I1607" s="2" t="str">
        <f>VLOOKUP(A1607,Holidays!$A$2:$C$2107,3,1)</f>
        <v>N</v>
      </c>
    </row>
    <row r="1608" spans="1:9" x14ac:dyDescent="0.45">
      <c r="A1608" s="1">
        <v>43611</v>
      </c>
      <c r="B1608">
        <v>106153.43</v>
      </c>
      <c r="C1608">
        <v>63.903082140000002</v>
      </c>
      <c r="D1608" s="2">
        <v>9.5</v>
      </c>
      <c r="E1608" s="2">
        <v>15.1</v>
      </c>
      <c r="F1608" s="2">
        <v>8.6</v>
      </c>
      <c r="G1608" s="2">
        <v>6.6</v>
      </c>
      <c r="H1608" s="2" t="str">
        <f>VLOOKUP(A1608,Holidays!$A$2:$B$2107,2,1)</f>
        <v>Y</v>
      </c>
      <c r="I1608" s="2" t="str">
        <f>VLOOKUP(A1608,Holidays!$A$2:$C$2107,3,1)</f>
        <v>N</v>
      </c>
    </row>
    <row r="1609" spans="1:9" x14ac:dyDescent="0.45">
      <c r="A1609" s="1">
        <v>43612</v>
      </c>
      <c r="B1609">
        <v>130229.295</v>
      </c>
      <c r="C1609">
        <v>87.611014030000007</v>
      </c>
      <c r="D1609" s="2">
        <v>7.8</v>
      </c>
      <c r="E1609" s="2">
        <v>14</v>
      </c>
      <c r="F1609" s="2">
        <v>7.2</v>
      </c>
      <c r="G1609" s="2">
        <v>8.1999999999999993</v>
      </c>
      <c r="H1609" s="2" t="str">
        <f>VLOOKUP(A1609,Holidays!$A$2:$B$2107,2,1)</f>
        <v>Y</v>
      </c>
      <c r="I1609" s="2" t="str">
        <f>VLOOKUP(A1609,Holidays!$A$2:$C$2107,3,1)</f>
        <v>N</v>
      </c>
    </row>
    <row r="1610" spans="1:9" x14ac:dyDescent="0.45">
      <c r="A1610" s="1">
        <v>43613</v>
      </c>
      <c r="B1610">
        <v>133799.655</v>
      </c>
      <c r="C1610">
        <v>79.964774539999993</v>
      </c>
      <c r="D1610" s="2">
        <v>8.1999999999999993</v>
      </c>
      <c r="E1610" s="2">
        <v>15.7</v>
      </c>
      <c r="F1610" s="2">
        <v>3.3</v>
      </c>
      <c r="G1610" s="2">
        <v>0.2</v>
      </c>
      <c r="H1610" s="2" t="str">
        <f>VLOOKUP(A1610,Holidays!$A$2:$B$2107,2,1)</f>
        <v>Y</v>
      </c>
      <c r="I1610" s="2" t="str">
        <f>VLOOKUP(A1610,Holidays!$A$2:$C$2107,3,1)</f>
        <v>N</v>
      </c>
    </row>
    <row r="1611" spans="1:9" x14ac:dyDescent="0.45">
      <c r="A1611" s="1">
        <v>43614</v>
      </c>
      <c r="B1611">
        <v>136301.49</v>
      </c>
      <c r="C1611">
        <v>85.003942199999997</v>
      </c>
      <c r="D1611" s="2">
        <v>8.6999999999999993</v>
      </c>
      <c r="E1611" s="2">
        <v>10.6</v>
      </c>
      <c r="F1611" s="2">
        <v>7.9</v>
      </c>
      <c r="G1611" s="2">
        <v>1.2</v>
      </c>
      <c r="H1611" s="2" t="str">
        <f>VLOOKUP(A1611,Holidays!$A$2:$B$2107,2,1)</f>
        <v>Y</v>
      </c>
      <c r="I1611" s="2" t="str">
        <f>VLOOKUP(A1611,Holidays!$A$2:$C$2107,3,1)</f>
        <v>N</v>
      </c>
    </row>
    <row r="1612" spans="1:9" x14ac:dyDescent="0.45">
      <c r="A1612" s="1">
        <v>43615</v>
      </c>
      <c r="B1612">
        <v>138857.13500000001</v>
      </c>
      <c r="C1612">
        <v>100.0150103</v>
      </c>
      <c r="D1612" s="2">
        <v>6.7</v>
      </c>
      <c r="E1612" s="2">
        <v>13.3</v>
      </c>
      <c r="F1612" s="2">
        <v>5.8</v>
      </c>
      <c r="G1612" s="2">
        <v>5.8</v>
      </c>
      <c r="H1612" s="2" t="str">
        <f>VLOOKUP(A1612,Holidays!$A$2:$B$2107,2,1)</f>
        <v>Y</v>
      </c>
      <c r="I1612" s="2" t="str">
        <f>VLOOKUP(A1612,Holidays!$A$2:$C$2107,3,1)</f>
        <v>N</v>
      </c>
    </row>
    <row r="1613" spans="1:9" x14ac:dyDescent="0.45">
      <c r="A1613" s="1">
        <v>43616</v>
      </c>
      <c r="B1613">
        <v>133869.14000000001</v>
      </c>
      <c r="C1613">
        <v>100.7077503</v>
      </c>
      <c r="D1613" s="2">
        <v>8.5</v>
      </c>
      <c r="E1613" s="2">
        <v>14.3</v>
      </c>
      <c r="F1613" s="2">
        <v>5.7</v>
      </c>
      <c r="G1613" s="2">
        <v>1.4</v>
      </c>
      <c r="H1613" s="2" t="str">
        <f>VLOOKUP(A1613,Holidays!$A$2:$B$2107,2,1)</f>
        <v>Y</v>
      </c>
      <c r="I1613" s="2" t="str">
        <f>VLOOKUP(A1613,Holidays!$A$2:$C$2107,3,1)</f>
        <v>N</v>
      </c>
    </row>
    <row r="1614" spans="1:9" x14ac:dyDescent="0.45">
      <c r="A1614" s="1">
        <v>43617</v>
      </c>
      <c r="B1614">
        <v>120653.435</v>
      </c>
      <c r="C1614">
        <v>113.2446372</v>
      </c>
      <c r="D1614" s="2">
        <v>11.7</v>
      </c>
      <c r="E1614" s="2">
        <v>14.6</v>
      </c>
      <c r="F1614" s="2">
        <v>5.8</v>
      </c>
      <c r="G1614" s="2">
        <v>2.4</v>
      </c>
      <c r="H1614" s="2" t="str">
        <f>VLOOKUP(A1614,Holidays!$A$2:$B$2107,2,1)</f>
        <v>Y</v>
      </c>
      <c r="I1614" s="2" t="str">
        <f>VLOOKUP(A1614,Holidays!$A$2:$C$2107,3,1)</f>
        <v>N</v>
      </c>
    </row>
    <row r="1615" spans="1:9" x14ac:dyDescent="0.45">
      <c r="A1615" s="1">
        <v>43618</v>
      </c>
      <c r="B1615">
        <v>118086.93</v>
      </c>
      <c r="C1615">
        <v>108.9225857</v>
      </c>
      <c r="D1615" s="2">
        <v>11</v>
      </c>
      <c r="E1615" s="2">
        <v>14.5</v>
      </c>
      <c r="F1615" s="2">
        <v>6.7</v>
      </c>
      <c r="G1615" s="2">
        <v>0</v>
      </c>
      <c r="H1615" s="2" t="str">
        <f>VLOOKUP(A1615,Holidays!$A$2:$B$2107,2,1)</f>
        <v>Y</v>
      </c>
      <c r="I1615" s="2" t="str">
        <f>VLOOKUP(A1615,Holidays!$A$2:$C$2107,3,1)</f>
        <v>N</v>
      </c>
    </row>
    <row r="1616" spans="1:9" x14ac:dyDescent="0.45">
      <c r="A1616" s="1">
        <v>43619</v>
      </c>
      <c r="B1616">
        <v>135437.85</v>
      </c>
      <c r="C1616">
        <v>115.7252699</v>
      </c>
      <c r="D1616" s="2">
        <v>8.1999999999999993</v>
      </c>
      <c r="E1616" s="2">
        <v>12</v>
      </c>
      <c r="F1616" s="2">
        <v>3.8</v>
      </c>
      <c r="G1616" s="2">
        <v>15.4</v>
      </c>
      <c r="H1616" s="2" t="str">
        <f>VLOOKUP(A1616,Holidays!$A$2:$B$2107,2,1)</f>
        <v>Y</v>
      </c>
      <c r="I1616" s="2" t="str">
        <f>VLOOKUP(A1616,Holidays!$A$2:$C$2107,3,1)</f>
        <v>N</v>
      </c>
    </row>
    <row r="1617" spans="1:9" x14ac:dyDescent="0.45">
      <c r="A1617" s="1">
        <v>43620</v>
      </c>
      <c r="B1617">
        <v>136149.125</v>
      </c>
      <c r="C1617">
        <v>149.11844379999999</v>
      </c>
      <c r="D1617" s="2">
        <v>8.4</v>
      </c>
      <c r="E1617" s="2">
        <v>12.9</v>
      </c>
      <c r="F1617" s="2">
        <v>7.9</v>
      </c>
      <c r="G1617" s="2">
        <v>3.2</v>
      </c>
      <c r="H1617" s="2" t="str">
        <f>VLOOKUP(A1617,Holidays!$A$2:$B$2107,2,1)</f>
        <v>Y</v>
      </c>
      <c r="I1617" s="2" t="str">
        <f>VLOOKUP(A1617,Holidays!$A$2:$C$2107,3,1)</f>
        <v>N</v>
      </c>
    </row>
    <row r="1618" spans="1:9" x14ac:dyDescent="0.45">
      <c r="A1618" s="1">
        <v>43621</v>
      </c>
      <c r="B1618">
        <v>137844.815</v>
      </c>
      <c r="C1618">
        <v>155.98832920000001</v>
      </c>
      <c r="D1618" s="2">
        <v>8.6</v>
      </c>
      <c r="E1618" s="2">
        <v>13</v>
      </c>
      <c r="F1618" s="2">
        <v>5.7</v>
      </c>
      <c r="G1618" s="2">
        <v>0</v>
      </c>
      <c r="H1618" s="2" t="str">
        <f>VLOOKUP(A1618,Holidays!$A$2:$B$2107,2,1)</f>
        <v>Y</v>
      </c>
      <c r="I1618" s="2" t="str">
        <f>VLOOKUP(A1618,Holidays!$A$2:$C$2107,3,1)</f>
        <v>N</v>
      </c>
    </row>
    <row r="1619" spans="1:9" x14ac:dyDescent="0.45">
      <c r="A1619" s="1">
        <v>43622</v>
      </c>
      <c r="B1619">
        <v>134971.77499999999</v>
      </c>
      <c r="C1619">
        <v>162.49199490000001</v>
      </c>
      <c r="D1619" s="2">
        <v>10.199999999999999</v>
      </c>
      <c r="E1619" s="2">
        <v>14.8</v>
      </c>
      <c r="F1619" s="2">
        <v>7.9</v>
      </c>
      <c r="G1619" s="2">
        <v>0</v>
      </c>
      <c r="H1619" s="2" t="str">
        <f>VLOOKUP(A1619,Holidays!$A$2:$B$2107,2,1)</f>
        <v>Y</v>
      </c>
      <c r="I1619" s="2" t="str">
        <f>VLOOKUP(A1619,Holidays!$A$2:$C$2107,3,1)</f>
        <v>N</v>
      </c>
    </row>
    <row r="1620" spans="1:9" x14ac:dyDescent="0.45">
      <c r="A1620" s="1">
        <v>43623</v>
      </c>
      <c r="B1620">
        <v>132003.44</v>
      </c>
      <c r="C1620">
        <v>139.20081619999999</v>
      </c>
      <c r="D1620" s="2">
        <v>11.7</v>
      </c>
      <c r="E1620" s="2">
        <v>16.600000000000001</v>
      </c>
      <c r="F1620" s="2">
        <v>8</v>
      </c>
      <c r="G1620" s="2">
        <v>0</v>
      </c>
      <c r="H1620" s="2" t="str">
        <f>VLOOKUP(A1620,Holidays!$A$2:$B$2107,2,1)</f>
        <v>Y</v>
      </c>
      <c r="I1620" s="2" t="str">
        <f>VLOOKUP(A1620,Holidays!$A$2:$C$2107,3,1)</f>
        <v>N</v>
      </c>
    </row>
    <row r="1621" spans="1:9" x14ac:dyDescent="0.45">
      <c r="A1621" s="1">
        <v>43624</v>
      </c>
      <c r="B1621">
        <v>117243.63</v>
      </c>
      <c r="C1621">
        <v>102.4160856</v>
      </c>
      <c r="D1621" s="2">
        <v>6.7</v>
      </c>
      <c r="E1621" s="2">
        <v>18.7</v>
      </c>
      <c r="F1621" s="2">
        <v>9.3000000000000007</v>
      </c>
      <c r="G1621" s="2">
        <v>0</v>
      </c>
      <c r="H1621" s="2" t="str">
        <f>VLOOKUP(A1621,Holidays!$A$2:$B$2107,2,1)</f>
        <v>Y</v>
      </c>
      <c r="I1621" s="2" t="str">
        <f>VLOOKUP(A1621,Holidays!$A$2:$C$2107,3,1)</f>
        <v>N</v>
      </c>
    </row>
    <row r="1622" spans="1:9" x14ac:dyDescent="0.45">
      <c r="A1622" s="1">
        <v>43625</v>
      </c>
      <c r="B1622">
        <v>110669.42</v>
      </c>
      <c r="C1622">
        <v>69.561305970000006</v>
      </c>
      <c r="D1622" s="2">
        <v>7.8</v>
      </c>
      <c r="E1622" s="2">
        <v>18</v>
      </c>
      <c r="F1622" s="2">
        <v>8</v>
      </c>
      <c r="G1622" s="2">
        <v>0</v>
      </c>
      <c r="H1622" s="2" t="str">
        <f>VLOOKUP(A1622,Holidays!$A$2:$B$2107,2,1)</f>
        <v>Y</v>
      </c>
      <c r="I1622" s="2" t="str">
        <f>VLOOKUP(A1622,Holidays!$A$2:$C$2107,3,1)</f>
        <v>N</v>
      </c>
    </row>
    <row r="1623" spans="1:9" x14ac:dyDescent="0.45">
      <c r="A1623" s="1">
        <v>43626</v>
      </c>
      <c r="B1623">
        <v>108133.03</v>
      </c>
      <c r="C1623">
        <v>47.487874040000001</v>
      </c>
      <c r="D1623" s="2">
        <v>12</v>
      </c>
      <c r="E1623" s="2">
        <v>19.2</v>
      </c>
      <c r="F1623" s="2">
        <v>7.6</v>
      </c>
      <c r="G1623" s="2">
        <v>3</v>
      </c>
      <c r="H1623" s="2" t="str">
        <f>VLOOKUP(A1623,Holidays!$A$2:$B$2107,2,1)</f>
        <v>Y</v>
      </c>
      <c r="I1623" s="2" t="str">
        <f>VLOOKUP(A1623,Holidays!$A$2:$C$2107,3,1)</f>
        <v>Y</v>
      </c>
    </row>
    <row r="1624" spans="1:9" x14ac:dyDescent="0.45">
      <c r="A1624" s="1">
        <v>43627</v>
      </c>
      <c r="B1624">
        <v>122760.92</v>
      </c>
      <c r="C1624">
        <v>73.078081710000006</v>
      </c>
      <c r="D1624" s="2">
        <v>9.6</v>
      </c>
      <c r="E1624" s="2">
        <v>17.899999999999999</v>
      </c>
      <c r="F1624" s="2">
        <v>9.1999999999999993</v>
      </c>
      <c r="G1624" s="2">
        <v>0</v>
      </c>
      <c r="H1624" s="2" t="str">
        <f>VLOOKUP(A1624,Holidays!$A$2:$B$2107,2,1)</f>
        <v>Y</v>
      </c>
      <c r="I1624" s="2" t="str">
        <f>VLOOKUP(A1624,Holidays!$A$2:$C$2107,3,1)</f>
        <v>N</v>
      </c>
    </row>
    <row r="1625" spans="1:9" x14ac:dyDescent="0.45">
      <c r="A1625" s="1">
        <v>43628</v>
      </c>
      <c r="B1625">
        <v>128127.75</v>
      </c>
      <c r="C1625">
        <v>85.792690070000006</v>
      </c>
      <c r="D1625" s="2">
        <v>11.9</v>
      </c>
      <c r="E1625" s="2">
        <v>16.5</v>
      </c>
      <c r="F1625" s="2">
        <v>1.3</v>
      </c>
      <c r="G1625" s="2">
        <v>0.6</v>
      </c>
      <c r="H1625" s="2" t="str">
        <f>VLOOKUP(A1625,Holidays!$A$2:$B$2107,2,1)</f>
        <v>Y</v>
      </c>
      <c r="I1625" s="2" t="str">
        <f>VLOOKUP(A1625,Holidays!$A$2:$C$2107,3,1)</f>
        <v>N</v>
      </c>
    </row>
    <row r="1626" spans="1:9" x14ac:dyDescent="0.45">
      <c r="A1626" s="1">
        <v>43629</v>
      </c>
      <c r="B1626">
        <v>128535.19</v>
      </c>
      <c r="C1626">
        <v>79.516251400000002</v>
      </c>
      <c r="D1626" s="2">
        <v>8.8000000000000007</v>
      </c>
      <c r="E1626" s="2">
        <v>17.399999999999999</v>
      </c>
      <c r="F1626" s="2">
        <v>8.9</v>
      </c>
      <c r="G1626" s="2">
        <v>2.6</v>
      </c>
      <c r="H1626" s="2" t="str">
        <f>VLOOKUP(A1626,Holidays!$A$2:$B$2107,2,1)</f>
        <v>Y</v>
      </c>
      <c r="I1626" s="2" t="str">
        <f>VLOOKUP(A1626,Holidays!$A$2:$C$2107,3,1)</f>
        <v>N</v>
      </c>
    </row>
    <row r="1627" spans="1:9" x14ac:dyDescent="0.45">
      <c r="A1627" s="1">
        <v>43630</v>
      </c>
      <c r="B1627">
        <v>128153.19500000001</v>
      </c>
      <c r="C1627">
        <v>86.655464210000005</v>
      </c>
      <c r="D1627" s="2">
        <v>10</v>
      </c>
      <c r="E1627" s="2">
        <v>17.3</v>
      </c>
      <c r="F1627" s="2">
        <v>7</v>
      </c>
      <c r="G1627" s="2">
        <v>2.2000000000000002</v>
      </c>
      <c r="H1627" s="2" t="str">
        <f>VLOOKUP(A1627,Holidays!$A$2:$B$2107,2,1)</f>
        <v>Y</v>
      </c>
      <c r="I1627" s="2" t="str">
        <f>VLOOKUP(A1627,Holidays!$A$2:$C$2107,3,1)</f>
        <v>N</v>
      </c>
    </row>
    <row r="1628" spans="1:9" x14ac:dyDescent="0.45">
      <c r="A1628" s="1">
        <v>43631</v>
      </c>
      <c r="B1628">
        <v>121097.845</v>
      </c>
      <c r="C1628">
        <v>104.43185029999999</v>
      </c>
      <c r="D1628" s="2">
        <v>9</v>
      </c>
      <c r="E1628" s="2">
        <v>15.2</v>
      </c>
      <c r="F1628" s="2">
        <v>6.4</v>
      </c>
      <c r="G1628" s="2">
        <v>2.6</v>
      </c>
      <c r="H1628" s="2" t="str">
        <f>VLOOKUP(A1628,Holidays!$A$2:$B$2107,2,1)</f>
        <v>Y</v>
      </c>
      <c r="I1628" s="2" t="str">
        <f>VLOOKUP(A1628,Holidays!$A$2:$C$2107,3,1)</f>
        <v>N</v>
      </c>
    </row>
    <row r="1629" spans="1:9" x14ac:dyDescent="0.45">
      <c r="A1629" s="1">
        <v>43632</v>
      </c>
      <c r="B1629">
        <v>116811.39</v>
      </c>
      <c r="C1629">
        <v>111.2767338</v>
      </c>
      <c r="D1629" s="2">
        <v>8.6</v>
      </c>
      <c r="E1629" s="2">
        <v>16.7</v>
      </c>
      <c r="F1629" s="2">
        <v>7.5</v>
      </c>
      <c r="G1629" s="2">
        <v>0</v>
      </c>
      <c r="H1629" s="2" t="str">
        <f>VLOOKUP(A1629,Holidays!$A$2:$B$2107,2,1)</f>
        <v>Y</v>
      </c>
      <c r="I1629" s="2" t="str">
        <f>VLOOKUP(A1629,Holidays!$A$2:$C$2107,3,1)</f>
        <v>N</v>
      </c>
    </row>
    <row r="1630" spans="1:9" x14ac:dyDescent="0.45">
      <c r="A1630" s="1">
        <v>43633</v>
      </c>
      <c r="B1630">
        <v>129972.91499999999</v>
      </c>
      <c r="C1630">
        <v>108.7466958</v>
      </c>
      <c r="D1630" s="2">
        <v>6.3</v>
      </c>
      <c r="E1630" s="2">
        <v>17.899999999999999</v>
      </c>
      <c r="F1630" s="2">
        <v>8.6</v>
      </c>
      <c r="G1630" s="2">
        <v>3.4</v>
      </c>
      <c r="H1630" s="2" t="str">
        <f>VLOOKUP(A1630,Holidays!$A$2:$B$2107,2,1)</f>
        <v>Y</v>
      </c>
      <c r="I1630" s="2" t="str">
        <f>VLOOKUP(A1630,Holidays!$A$2:$C$2107,3,1)</f>
        <v>N</v>
      </c>
    </row>
    <row r="1631" spans="1:9" x14ac:dyDescent="0.45">
      <c r="A1631" s="1">
        <v>43634</v>
      </c>
      <c r="B1631">
        <v>137922.22</v>
      </c>
      <c r="C1631">
        <v>101.3953781</v>
      </c>
      <c r="D1631" s="2">
        <v>8</v>
      </c>
      <c r="E1631" s="2">
        <v>13.7</v>
      </c>
      <c r="F1631" s="2">
        <v>5.2</v>
      </c>
      <c r="G1631" s="2">
        <v>0</v>
      </c>
      <c r="H1631" s="2" t="str">
        <f>VLOOKUP(A1631,Holidays!$A$2:$B$2107,2,1)</f>
        <v>Y</v>
      </c>
      <c r="I1631" s="2" t="str">
        <f>VLOOKUP(A1631,Holidays!$A$2:$C$2107,3,1)</f>
        <v>N</v>
      </c>
    </row>
    <row r="1632" spans="1:9" x14ac:dyDescent="0.45">
      <c r="A1632" s="1">
        <v>43635</v>
      </c>
      <c r="B1632">
        <v>144737.12</v>
      </c>
      <c r="C1632">
        <v>157.02604099999999</v>
      </c>
      <c r="D1632" s="2">
        <v>6.6</v>
      </c>
      <c r="E1632" s="2">
        <v>11.9</v>
      </c>
      <c r="F1632" s="2">
        <v>7</v>
      </c>
      <c r="G1632" s="2">
        <v>0.8</v>
      </c>
      <c r="H1632" s="2" t="str">
        <f>VLOOKUP(A1632,Holidays!$A$2:$B$2107,2,1)</f>
        <v>Y</v>
      </c>
      <c r="I1632" s="2" t="str">
        <f>VLOOKUP(A1632,Holidays!$A$2:$C$2107,3,1)</f>
        <v>N</v>
      </c>
    </row>
    <row r="1633" spans="1:9" x14ac:dyDescent="0.45">
      <c r="A1633" s="1">
        <v>43636</v>
      </c>
      <c r="B1633">
        <v>148609.595</v>
      </c>
      <c r="C1633">
        <v>141.97958589999999</v>
      </c>
      <c r="D1633" s="2">
        <v>6.4</v>
      </c>
      <c r="E1633" s="2">
        <v>11.3</v>
      </c>
      <c r="F1633" s="2">
        <v>6.4</v>
      </c>
      <c r="G1633" s="2">
        <v>1.6</v>
      </c>
      <c r="H1633" s="2" t="str">
        <f>VLOOKUP(A1633,Holidays!$A$2:$B$2107,2,1)</f>
        <v>Y</v>
      </c>
      <c r="I1633" s="2" t="str">
        <f>VLOOKUP(A1633,Holidays!$A$2:$C$2107,3,1)</f>
        <v>N</v>
      </c>
    </row>
    <row r="1634" spans="1:9" x14ac:dyDescent="0.45">
      <c r="A1634" s="1">
        <v>43637</v>
      </c>
      <c r="B1634">
        <v>144504.32999999999</v>
      </c>
      <c r="C1634">
        <v>123.80971169999999</v>
      </c>
      <c r="D1634" s="2">
        <v>6.5</v>
      </c>
      <c r="E1634" s="2">
        <v>12.6</v>
      </c>
      <c r="F1634" s="2">
        <v>8.5</v>
      </c>
      <c r="G1634" s="2">
        <v>3</v>
      </c>
      <c r="H1634" s="2" t="str">
        <f>VLOOKUP(A1634,Holidays!$A$2:$B$2107,2,1)</f>
        <v>Y</v>
      </c>
      <c r="I1634" s="2" t="str">
        <f>VLOOKUP(A1634,Holidays!$A$2:$C$2107,3,1)</f>
        <v>N</v>
      </c>
    </row>
    <row r="1635" spans="1:9" x14ac:dyDescent="0.45">
      <c r="A1635" s="1">
        <v>43638</v>
      </c>
      <c r="B1635">
        <v>132829.29</v>
      </c>
      <c r="C1635">
        <v>111.60986149999999</v>
      </c>
      <c r="D1635" s="2">
        <v>6.8</v>
      </c>
      <c r="E1635" s="2">
        <v>11.8</v>
      </c>
      <c r="F1635" s="2">
        <v>7.3</v>
      </c>
      <c r="G1635" s="2">
        <v>0.4</v>
      </c>
      <c r="H1635" s="2" t="str">
        <f>VLOOKUP(A1635,Holidays!$A$2:$B$2107,2,1)</f>
        <v>Y</v>
      </c>
      <c r="I1635" s="2" t="str">
        <f>VLOOKUP(A1635,Holidays!$A$2:$C$2107,3,1)</f>
        <v>N</v>
      </c>
    </row>
    <row r="1636" spans="1:9" x14ac:dyDescent="0.45">
      <c r="A1636" s="1">
        <v>43639</v>
      </c>
      <c r="B1636">
        <v>133525.32</v>
      </c>
      <c r="C1636">
        <v>127.6019028</v>
      </c>
      <c r="D1636" s="2">
        <v>3.6</v>
      </c>
      <c r="E1636" s="2">
        <v>9.6</v>
      </c>
      <c r="F1636" s="2">
        <v>5.9</v>
      </c>
      <c r="G1636" s="2">
        <v>1.2</v>
      </c>
      <c r="H1636" s="2" t="str">
        <f>VLOOKUP(A1636,Holidays!$A$2:$B$2107,2,1)</f>
        <v>Y</v>
      </c>
      <c r="I1636" s="2" t="str">
        <f>VLOOKUP(A1636,Holidays!$A$2:$C$2107,3,1)</f>
        <v>N</v>
      </c>
    </row>
    <row r="1637" spans="1:9" x14ac:dyDescent="0.45">
      <c r="A1637" s="1">
        <v>43640</v>
      </c>
      <c r="B1637">
        <v>146856.79999999999</v>
      </c>
      <c r="C1637">
        <v>117.51896069999999</v>
      </c>
      <c r="D1637" s="2">
        <v>4.2</v>
      </c>
      <c r="E1637" s="2">
        <v>16</v>
      </c>
      <c r="F1637" s="2">
        <v>9</v>
      </c>
      <c r="G1637" s="2">
        <v>0</v>
      </c>
      <c r="H1637" s="2" t="str">
        <f>VLOOKUP(A1637,Holidays!$A$2:$B$2107,2,1)</f>
        <v>Y</v>
      </c>
      <c r="I1637" s="2" t="str">
        <f>VLOOKUP(A1637,Holidays!$A$2:$C$2107,3,1)</f>
        <v>N</v>
      </c>
    </row>
    <row r="1638" spans="1:9" x14ac:dyDescent="0.45">
      <c r="A1638" s="1">
        <v>43641</v>
      </c>
      <c r="B1638">
        <v>145807.25</v>
      </c>
      <c r="C1638">
        <v>124.05127779999999</v>
      </c>
      <c r="D1638" s="2">
        <v>3.5</v>
      </c>
      <c r="E1638" s="2">
        <v>17</v>
      </c>
      <c r="F1638" s="2">
        <v>8.9</v>
      </c>
      <c r="G1638" s="2">
        <v>0</v>
      </c>
      <c r="H1638" s="2" t="str">
        <f>VLOOKUP(A1638,Holidays!$A$2:$B$2107,2,1)</f>
        <v>Y</v>
      </c>
      <c r="I1638" s="2" t="str">
        <f>VLOOKUP(A1638,Holidays!$A$2:$C$2107,3,1)</f>
        <v>N</v>
      </c>
    </row>
    <row r="1639" spans="1:9" x14ac:dyDescent="0.45">
      <c r="A1639" s="1">
        <v>43642</v>
      </c>
      <c r="B1639">
        <v>139351.56</v>
      </c>
      <c r="C1639">
        <v>106.19914</v>
      </c>
      <c r="D1639" s="2">
        <v>4.5999999999999996</v>
      </c>
      <c r="E1639" s="2">
        <v>18</v>
      </c>
      <c r="F1639" s="2">
        <v>9.1999999999999993</v>
      </c>
      <c r="G1639" s="2">
        <v>0.2</v>
      </c>
      <c r="H1639" s="2" t="str">
        <f>VLOOKUP(A1639,Holidays!$A$2:$B$2107,2,1)</f>
        <v>Y</v>
      </c>
      <c r="I1639" s="2" t="str">
        <f>VLOOKUP(A1639,Holidays!$A$2:$C$2107,3,1)</f>
        <v>N</v>
      </c>
    </row>
    <row r="1640" spans="1:9" x14ac:dyDescent="0.45">
      <c r="A1640" s="1">
        <v>43643</v>
      </c>
      <c r="B1640">
        <v>131023.66</v>
      </c>
      <c r="C1640">
        <v>77.671129440000001</v>
      </c>
      <c r="D1640" s="2">
        <v>5.9</v>
      </c>
      <c r="E1640" s="2">
        <v>17.5</v>
      </c>
      <c r="F1640" s="2">
        <v>9.1999999999999993</v>
      </c>
      <c r="G1640" s="2">
        <v>0</v>
      </c>
      <c r="H1640" s="2" t="str">
        <f>VLOOKUP(A1640,Holidays!$A$2:$B$2107,2,1)</f>
        <v>Y</v>
      </c>
      <c r="I1640" s="2" t="str">
        <f>VLOOKUP(A1640,Holidays!$A$2:$C$2107,3,1)</f>
        <v>N</v>
      </c>
    </row>
    <row r="1641" spans="1:9" x14ac:dyDescent="0.45">
      <c r="A1641" s="1">
        <v>43644</v>
      </c>
      <c r="B1641">
        <v>123546.62</v>
      </c>
      <c r="C1641">
        <v>61.815155930000003</v>
      </c>
      <c r="D1641" s="2">
        <v>10.7</v>
      </c>
      <c r="E1641" s="2">
        <v>19.5</v>
      </c>
      <c r="F1641" s="2">
        <v>9.1999999999999993</v>
      </c>
      <c r="G1641" s="2">
        <v>0</v>
      </c>
      <c r="H1641" s="2" t="str">
        <f>VLOOKUP(A1641,Holidays!$A$2:$B$2107,2,1)</f>
        <v>N</v>
      </c>
      <c r="I1641" s="2" t="str">
        <f>VLOOKUP(A1641,Holidays!$A$2:$C$2107,3,1)</f>
        <v>N</v>
      </c>
    </row>
    <row r="1642" spans="1:9" x14ac:dyDescent="0.45">
      <c r="A1642" s="1">
        <v>43645</v>
      </c>
      <c r="B1642">
        <v>117924.13</v>
      </c>
      <c r="C1642">
        <v>52.91240414</v>
      </c>
      <c r="D1642" s="2">
        <v>13</v>
      </c>
      <c r="E1642" s="2">
        <v>17.600000000000001</v>
      </c>
      <c r="F1642" s="2">
        <v>2.6</v>
      </c>
      <c r="G1642" s="2">
        <v>0.8</v>
      </c>
      <c r="H1642" s="2" t="str">
        <f>VLOOKUP(A1642,Holidays!$A$2:$B$2107,2,1)</f>
        <v>N</v>
      </c>
      <c r="I1642" s="2" t="str">
        <f>VLOOKUP(A1642,Holidays!$A$2:$C$2107,3,1)</f>
        <v>N</v>
      </c>
    </row>
    <row r="1643" spans="1:9" x14ac:dyDescent="0.45">
      <c r="A1643" s="1">
        <v>43646</v>
      </c>
      <c r="B1643">
        <v>116150.91499999999</v>
      </c>
      <c r="C1643">
        <v>51.901149879999998</v>
      </c>
      <c r="D1643" s="2">
        <v>8.1</v>
      </c>
      <c r="E1643" s="2">
        <v>14.5</v>
      </c>
      <c r="F1643" s="2">
        <v>8.5</v>
      </c>
      <c r="G1643" s="2">
        <v>6.4</v>
      </c>
      <c r="H1643" s="2" t="str">
        <f>VLOOKUP(A1643,Holidays!$A$2:$B$2107,2,1)</f>
        <v>N</v>
      </c>
      <c r="I1643" s="2" t="str">
        <f>VLOOKUP(A1643,Holidays!$A$2:$C$2107,3,1)</f>
        <v>N</v>
      </c>
    </row>
    <row r="1644" spans="1:9" x14ac:dyDescent="0.45">
      <c r="A1644" s="1">
        <v>43647</v>
      </c>
      <c r="B1644">
        <v>130565.58</v>
      </c>
      <c r="C1644">
        <v>67.195464610000002</v>
      </c>
      <c r="D1644" s="2">
        <v>9.5</v>
      </c>
      <c r="E1644" s="2">
        <v>14.1</v>
      </c>
      <c r="F1644" s="2">
        <v>8.3000000000000007</v>
      </c>
      <c r="G1644" s="2">
        <v>0</v>
      </c>
      <c r="H1644" s="2" t="str">
        <f>VLOOKUP(A1644,Holidays!$A$2:$B$2107,2,1)</f>
        <v>N</v>
      </c>
      <c r="I1644" s="2" t="str">
        <f>VLOOKUP(A1644,Holidays!$A$2:$C$2107,3,1)</f>
        <v>N</v>
      </c>
    </row>
    <row r="1645" spans="1:9" x14ac:dyDescent="0.45">
      <c r="A1645" s="1">
        <v>43648</v>
      </c>
      <c r="B1645">
        <v>135866.75</v>
      </c>
      <c r="C1645">
        <v>93.110674299999999</v>
      </c>
      <c r="D1645" s="2">
        <v>8.6</v>
      </c>
      <c r="E1645" s="2">
        <v>15.9</v>
      </c>
      <c r="F1645" s="2">
        <v>6.6</v>
      </c>
      <c r="G1645" s="2">
        <v>0</v>
      </c>
      <c r="H1645" s="2" t="str">
        <f>VLOOKUP(A1645,Holidays!$A$2:$B$2107,2,1)</f>
        <v>N</v>
      </c>
      <c r="I1645" s="2" t="str">
        <f>VLOOKUP(A1645,Holidays!$A$2:$C$2107,3,1)</f>
        <v>N</v>
      </c>
    </row>
    <row r="1646" spans="1:9" x14ac:dyDescent="0.45">
      <c r="A1646" s="1">
        <v>43649</v>
      </c>
      <c r="B1646">
        <v>137327.70000000001</v>
      </c>
      <c r="C1646">
        <v>97.287999810000002</v>
      </c>
      <c r="D1646" s="2">
        <v>8.1999999999999993</v>
      </c>
      <c r="E1646" s="2">
        <v>13.7</v>
      </c>
      <c r="F1646" s="2">
        <v>7.5</v>
      </c>
      <c r="G1646" s="2">
        <v>0</v>
      </c>
      <c r="H1646" s="2" t="str">
        <f>VLOOKUP(A1646,Holidays!$A$2:$B$2107,2,1)</f>
        <v>N</v>
      </c>
      <c r="I1646" s="2" t="str">
        <f>VLOOKUP(A1646,Holidays!$A$2:$C$2107,3,1)</f>
        <v>N</v>
      </c>
    </row>
    <row r="1647" spans="1:9" x14ac:dyDescent="0.45">
      <c r="A1647" s="1">
        <v>43650</v>
      </c>
      <c r="B1647">
        <v>135182.72500000001</v>
      </c>
      <c r="C1647">
        <v>85.901782639999993</v>
      </c>
      <c r="D1647" s="2">
        <v>5.3</v>
      </c>
      <c r="E1647" s="2">
        <v>13.5</v>
      </c>
      <c r="F1647" s="2">
        <v>6.9</v>
      </c>
      <c r="G1647" s="2">
        <v>0</v>
      </c>
      <c r="H1647" s="2" t="str">
        <f>VLOOKUP(A1647,Holidays!$A$2:$B$2107,2,1)</f>
        <v>N</v>
      </c>
      <c r="I1647" s="2" t="str">
        <f>VLOOKUP(A1647,Holidays!$A$2:$C$2107,3,1)</f>
        <v>N</v>
      </c>
    </row>
    <row r="1648" spans="1:9" x14ac:dyDescent="0.45">
      <c r="A1648" s="1">
        <v>43651</v>
      </c>
      <c r="B1648">
        <v>132774.29500000001</v>
      </c>
      <c r="C1648">
        <v>78.719066029999993</v>
      </c>
      <c r="D1648" s="2">
        <v>3.5</v>
      </c>
      <c r="E1648" s="2">
        <v>19.100000000000001</v>
      </c>
      <c r="F1648" s="2">
        <v>9</v>
      </c>
      <c r="G1648" s="2">
        <v>0</v>
      </c>
      <c r="H1648" s="2" t="str">
        <f>VLOOKUP(A1648,Holidays!$A$2:$B$2107,2,1)</f>
        <v>N</v>
      </c>
      <c r="I1648" s="2" t="str">
        <f>VLOOKUP(A1648,Holidays!$A$2:$C$2107,3,1)</f>
        <v>N</v>
      </c>
    </row>
    <row r="1649" spans="1:9" x14ac:dyDescent="0.45">
      <c r="A1649" s="1">
        <v>43652</v>
      </c>
      <c r="B1649">
        <v>114660.9</v>
      </c>
      <c r="C1649">
        <v>64.992904050000007</v>
      </c>
      <c r="D1649" s="2">
        <v>6</v>
      </c>
      <c r="E1649" s="2">
        <v>19.399999999999999</v>
      </c>
      <c r="F1649" s="2">
        <v>9.3000000000000007</v>
      </c>
      <c r="G1649" s="2">
        <v>0</v>
      </c>
      <c r="H1649" s="2" t="str">
        <f>VLOOKUP(A1649,Holidays!$A$2:$B$2107,2,1)</f>
        <v>N</v>
      </c>
      <c r="I1649" s="2" t="str">
        <f>VLOOKUP(A1649,Holidays!$A$2:$C$2107,3,1)</f>
        <v>N</v>
      </c>
    </row>
    <row r="1650" spans="1:9" x14ac:dyDescent="0.45">
      <c r="A1650" s="1">
        <v>43653</v>
      </c>
      <c r="B1650">
        <v>114469.88</v>
      </c>
      <c r="C1650">
        <v>87.747186549999995</v>
      </c>
      <c r="D1650" s="2">
        <v>9</v>
      </c>
      <c r="E1650" s="2">
        <v>18.2</v>
      </c>
      <c r="F1650" s="2">
        <v>6.1</v>
      </c>
      <c r="G1650" s="2">
        <v>0.2</v>
      </c>
      <c r="H1650" s="2" t="str">
        <f>VLOOKUP(A1650,Holidays!$A$2:$B$2107,2,1)</f>
        <v>N</v>
      </c>
      <c r="I1650" s="2" t="str">
        <f>VLOOKUP(A1650,Holidays!$A$2:$C$2107,3,1)</f>
        <v>N</v>
      </c>
    </row>
    <row r="1651" spans="1:9" x14ac:dyDescent="0.45">
      <c r="A1651" s="1">
        <v>43654</v>
      </c>
      <c r="B1651">
        <v>127307.26</v>
      </c>
      <c r="C1651">
        <v>101.94417129999999</v>
      </c>
      <c r="D1651" s="2">
        <v>11</v>
      </c>
      <c r="E1651" s="2">
        <v>16</v>
      </c>
      <c r="F1651" s="2">
        <v>8.1999999999999993</v>
      </c>
      <c r="G1651" s="2">
        <v>5.2</v>
      </c>
      <c r="H1651" s="2" t="str">
        <f>VLOOKUP(A1651,Holidays!$A$2:$B$2107,2,1)</f>
        <v>N</v>
      </c>
      <c r="I1651" s="2" t="str">
        <f>VLOOKUP(A1651,Holidays!$A$2:$C$2107,3,1)</f>
        <v>N</v>
      </c>
    </row>
    <row r="1652" spans="1:9" x14ac:dyDescent="0.45">
      <c r="A1652" s="1">
        <v>43655</v>
      </c>
      <c r="B1652">
        <v>133803.98499999999</v>
      </c>
      <c r="C1652">
        <v>125.0990315</v>
      </c>
      <c r="D1652" s="2">
        <v>6.8</v>
      </c>
      <c r="E1652" s="2">
        <v>15</v>
      </c>
      <c r="F1652" s="2">
        <v>7.2</v>
      </c>
      <c r="G1652" s="2">
        <v>0.2</v>
      </c>
      <c r="H1652" s="2" t="str">
        <f>VLOOKUP(A1652,Holidays!$A$2:$B$2107,2,1)</f>
        <v>N</v>
      </c>
      <c r="I1652" s="2" t="str">
        <f>VLOOKUP(A1652,Holidays!$A$2:$C$2107,3,1)</f>
        <v>N</v>
      </c>
    </row>
    <row r="1653" spans="1:9" x14ac:dyDescent="0.45">
      <c r="A1653" s="1">
        <v>43656</v>
      </c>
      <c r="B1653">
        <v>127092.715</v>
      </c>
      <c r="C1653">
        <v>84.780694909999994</v>
      </c>
      <c r="D1653" s="2">
        <v>9.5</v>
      </c>
      <c r="E1653" s="2">
        <v>15.4</v>
      </c>
      <c r="F1653" s="2">
        <v>6.7</v>
      </c>
      <c r="G1653" s="2">
        <v>0.2</v>
      </c>
      <c r="H1653" s="2" t="str">
        <f>VLOOKUP(A1653,Holidays!$A$2:$B$2107,2,1)</f>
        <v>N</v>
      </c>
      <c r="I1653" s="2" t="str">
        <f>VLOOKUP(A1653,Holidays!$A$2:$C$2107,3,1)</f>
        <v>N</v>
      </c>
    </row>
    <row r="1654" spans="1:9" x14ac:dyDescent="0.45">
      <c r="A1654" s="1">
        <v>43657</v>
      </c>
      <c r="B1654">
        <v>133131.51999999999</v>
      </c>
      <c r="C1654">
        <v>89.217705280000004</v>
      </c>
      <c r="D1654" s="2">
        <v>7.8</v>
      </c>
      <c r="E1654" s="2">
        <v>14.3</v>
      </c>
      <c r="F1654" s="2">
        <v>4.5999999999999996</v>
      </c>
      <c r="G1654" s="2">
        <v>6.4</v>
      </c>
      <c r="H1654" s="2" t="str">
        <f>VLOOKUP(A1654,Holidays!$A$2:$B$2107,2,1)</f>
        <v>N</v>
      </c>
      <c r="I1654" s="2" t="str">
        <f>VLOOKUP(A1654,Holidays!$A$2:$C$2107,3,1)</f>
        <v>N</v>
      </c>
    </row>
    <row r="1655" spans="1:9" x14ac:dyDescent="0.45">
      <c r="A1655" s="1">
        <v>43658</v>
      </c>
      <c r="B1655">
        <v>128384.14</v>
      </c>
      <c r="C1655">
        <v>90.969699500000004</v>
      </c>
      <c r="D1655" s="2">
        <v>10.1</v>
      </c>
      <c r="E1655" s="2">
        <v>15.7</v>
      </c>
      <c r="F1655" s="2">
        <v>6.2</v>
      </c>
      <c r="G1655" s="2">
        <v>2.4</v>
      </c>
      <c r="H1655" s="2" t="str">
        <f>VLOOKUP(A1655,Holidays!$A$2:$B$2107,2,1)</f>
        <v>N</v>
      </c>
      <c r="I1655" s="2" t="str">
        <f>VLOOKUP(A1655,Holidays!$A$2:$C$2107,3,1)</f>
        <v>N</v>
      </c>
    </row>
    <row r="1656" spans="1:9" x14ac:dyDescent="0.45">
      <c r="A1656" s="1">
        <v>43659</v>
      </c>
      <c r="B1656">
        <v>123954.31</v>
      </c>
      <c r="C1656">
        <v>82.190068789999998</v>
      </c>
      <c r="D1656" s="2">
        <v>7</v>
      </c>
      <c r="E1656" s="2">
        <v>12</v>
      </c>
      <c r="F1656" s="2">
        <v>8.3000000000000007</v>
      </c>
      <c r="G1656" s="2">
        <v>4.4000000000000004</v>
      </c>
      <c r="H1656" s="2" t="str">
        <f>VLOOKUP(A1656,Holidays!$A$2:$B$2107,2,1)</f>
        <v>N</v>
      </c>
      <c r="I1656" s="2" t="str">
        <f>VLOOKUP(A1656,Holidays!$A$2:$C$2107,3,1)</f>
        <v>N</v>
      </c>
    </row>
    <row r="1657" spans="1:9" x14ac:dyDescent="0.45">
      <c r="A1657" s="1">
        <v>43660</v>
      </c>
      <c r="B1657">
        <v>123740.265</v>
      </c>
      <c r="C1657">
        <v>81.784996430000007</v>
      </c>
      <c r="D1657" s="2">
        <v>7.1</v>
      </c>
      <c r="E1657" s="2">
        <v>13.1</v>
      </c>
      <c r="F1657" s="2">
        <v>3.8</v>
      </c>
      <c r="G1657" s="2">
        <v>0.8</v>
      </c>
      <c r="H1657" s="2" t="str">
        <f>VLOOKUP(A1657,Holidays!$A$2:$B$2107,2,1)</f>
        <v>N</v>
      </c>
      <c r="I1657" s="2" t="str">
        <f>VLOOKUP(A1657,Holidays!$A$2:$C$2107,3,1)</f>
        <v>N</v>
      </c>
    </row>
    <row r="1658" spans="1:9" x14ac:dyDescent="0.45">
      <c r="A1658" s="1">
        <v>43661</v>
      </c>
      <c r="B1658">
        <v>131739.20000000001</v>
      </c>
      <c r="C1658">
        <v>92.269993139999997</v>
      </c>
      <c r="D1658" s="2">
        <v>8.9</v>
      </c>
      <c r="E1658" s="2">
        <v>14.3</v>
      </c>
      <c r="F1658" s="2">
        <v>7.6</v>
      </c>
      <c r="G1658" s="2">
        <v>4.4000000000000004</v>
      </c>
      <c r="H1658" s="2" t="str">
        <f>VLOOKUP(A1658,Holidays!$A$2:$B$2107,2,1)</f>
        <v>N</v>
      </c>
      <c r="I1658" s="2" t="str">
        <f>VLOOKUP(A1658,Holidays!$A$2:$C$2107,3,1)</f>
        <v>N</v>
      </c>
    </row>
    <row r="1659" spans="1:9" x14ac:dyDescent="0.45">
      <c r="A1659" s="1">
        <v>43662</v>
      </c>
      <c r="B1659">
        <v>132941.76999999999</v>
      </c>
      <c r="C1659">
        <v>114.6004499</v>
      </c>
      <c r="D1659" s="2">
        <v>9.9</v>
      </c>
      <c r="E1659" s="2">
        <v>13.9</v>
      </c>
      <c r="F1659" s="2">
        <v>6.4</v>
      </c>
      <c r="G1659" s="2">
        <v>1.8</v>
      </c>
      <c r="H1659" s="2" t="str">
        <f>VLOOKUP(A1659,Holidays!$A$2:$B$2107,2,1)</f>
        <v>Y</v>
      </c>
      <c r="I1659" s="2" t="str">
        <f>VLOOKUP(A1659,Holidays!$A$2:$C$2107,3,1)</f>
        <v>N</v>
      </c>
    </row>
    <row r="1660" spans="1:9" x14ac:dyDescent="0.45">
      <c r="A1660" s="1">
        <v>43663</v>
      </c>
      <c r="B1660">
        <v>135339.82</v>
      </c>
      <c r="C1660">
        <v>91.545886449999998</v>
      </c>
      <c r="D1660" s="2">
        <v>9.6999999999999993</v>
      </c>
      <c r="E1660" s="2">
        <v>13.7</v>
      </c>
      <c r="F1660" s="2">
        <v>3.6</v>
      </c>
      <c r="G1660" s="2">
        <v>0</v>
      </c>
      <c r="H1660" s="2" t="str">
        <f>VLOOKUP(A1660,Holidays!$A$2:$B$2107,2,1)</f>
        <v>Y</v>
      </c>
      <c r="I1660" s="2" t="str">
        <f>VLOOKUP(A1660,Holidays!$A$2:$C$2107,3,1)</f>
        <v>N</v>
      </c>
    </row>
    <row r="1661" spans="1:9" x14ac:dyDescent="0.45">
      <c r="A1661" s="1">
        <v>43664</v>
      </c>
      <c r="B1661">
        <v>134119.14000000001</v>
      </c>
      <c r="C1661">
        <v>85.918878829999997</v>
      </c>
      <c r="D1661" s="2">
        <v>9</v>
      </c>
      <c r="E1661" s="2">
        <v>14.3</v>
      </c>
      <c r="F1661" s="2">
        <v>7.9</v>
      </c>
      <c r="G1661" s="2">
        <v>0.4</v>
      </c>
      <c r="H1661" s="2" t="str">
        <f>VLOOKUP(A1661,Holidays!$A$2:$B$2107,2,1)</f>
        <v>Y</v>
      </c>
      <c r="I1661" s="2" t="str">
        <f>VLOOKUP(A1661,Holidays!$A$2:$C$2107,3,1)</f>
        <v>N</v>
      </c>
    </row>
    <row r="1662" spans="1:9" x14ac:dyDescent="0.45">
      <c r="A1662" s="1">
        <v>43665</v>
      </c>
      <c r="B1662">
        <v>132101.85999999999</v>
      </c>
      <c r="C1662">
        <v>101.5731984</v>
      </c>
      <c r="D1662" s="2">
        <v>7.5</v>
      </c>
      <c r="E1662" s="2">
        <v>15.7</v>
      </c>
      <c r="F1662" s="2">
        <v>9.6</v>
      </c>
      <c r="G1662" s="2">
        <v>1.6</v>
      </c>
      <c r="H1662" s="2" t="str">
        <f>VLOOKUP(A1662,Holidays!$A$2:$B$2107,2,1)</f>
        <v>Y</v>
      </c>
      <c r="I1662" s="2" t="str">
        <f>VLOOKUP(A1662,Holidays!$A$2:$C$2107,3,1)</f>
        <v>N</v>
      </c>
    </row>
    <row r="1663" spans="1:9" x14ac:dyDescent="0.45">
      <c r="A1663" s="1">
        <v>43666</v>
      </c>
      <c r="B1663">
        <v>111288.905</v>
      </c>
      <c r="C1663">
        <v>52.5253199</v>
      </c>
      <c r="D1663" s="2">
        <v>8</v>
      </c>
      <c r="E1663" s="2">
        <v>17.100000000000001</v>
      </c>
      <c r="F1663" s="2">
        <v>10.3</v>
      </c>
      <c r="G1663" s="2">
        <v>0</v>
      </c>
      <c r="H1663" s="2" t="str">
        <f>VLOOKUP(A1663,Holidays!$A$2:$B$2107,2,1)</f>
        <v>Y</v>
      </c>
      <c r="I1663" s="2" t="str">
        <f>VLOOKUP(A1663,Holidays!$A$2:$C$2107,3,1)</f>
        <v>N</v>
      </c>
    </row>
    <row r="1664" spans="1:9" x14ac:dyDescent="0.45">
      <c r="A1664" s="1">
        <v>43667</v>
      </c>
      <c r="B1664">
        <v>111293.15</v>
      </c>
      <c r="C1664">
        <v>60.156590430000001</v>
      </c>
      <c r="D1664" s="2">
        <v>11.3</v>
      </c>
      <c r="E1664" s="2">
        <v>16.600000000000001</v>
      </c>
      <c r="F1664" s="2">
        <v>8.1</v>
      </c>
      <c r="G1664" s="2">
        <v>0</v>
      </c>
      <c r="H1664" s="2" t="str">
        <f>VLOOKUP(A1664,Holidays!$A$2:$B$2107,2,1)</f>
        <v>Y</v>
      </c>
      <c r="I1664" s="2" t="str">
        <f>VLOOKUP(A1664,Holidays!$A$2:$C$2107,3,1)</f>
        <v>N</v>
      </c>
    </row>
    <row r="1665" spans="1:9" x14ac:dyDescent="0.45">
      <c r="A1665" s="1">
        <v>43668</v>
      </c>
      <c r="B1665">
        <v>123618.42</v>
      </c>
      <c r="C1665">
        <v>64.585343089999995</v>
      </c>
      <c r="D1665" s="2">
        <v>7.9</v>
      </c>
      <c r="E1665" s="2">
        <v>15.6</v>
      </c>
      <c r="F1665" s="2">
        <v>10.6</v>
      </c>
      <c r="G1665" s="2">
        <v>0</v>
      </c>
      <c r="H1665" s="2" t="str">
        <f>VLOOKUP(A1665,Holidays!$A$2:$B$2107,2,1)</f>
        <v>Y</v>
      </c>
      <c r="I1665" s="2" t="str">
        <f>VLOOKUP(A1665,Holidays!$A$2:$C$2107,3,1)</f>
        <v>N</v>
      </c>
    </row>
    <row r="1666" spans="1:9" x14ac:dyDescent="0.45">
      <c r="A1666" s="1">
        <v>43669</v>
      </c>
      <c r="B1666">
        <v>129008.62</v>
      </c>
      <c r="C1666">
        <v>69.864795830000006</v>
      </c>
      <c r="D1666" s="2">
        <v>9.9</v>
      </c>
      <c r="E1666" s="2">
        <v>15.2</v>
      </c>
      <c r="F1666" s="2">
        <v>8.1999999999999993</v>
      </c>
      <c r="G1666" s="2">
        <v>1.6</v>
      </c>
      <c r="H1666" s="2" t="str">
        <f>VLOOKUP(A1666,Holidays!$A$2:$B$2107,2,1)</f>
        <v>Y</v>
      </c>
      <c r="I1666" s="2" t="str">
        <f>VLOOKUP(A1666,Holidays!$A$2:$C$2107,3,1)</f>
        <v>N</v>
      </c>
    </row>
    <row r="1667" spans="1:9" x14ac:dyDescent="0.45">
      <c r="A1667" s="1">
        <v>43670</v>
      </c>
      <c r="B1667">
        <v>135782.54500000001</v>
      </c>
      <c r="C1667">
        <v>87.256299299999995</v>
      </c>
      <c r="D1667" s="2">
        <v>7</v>
      </c>
      <c r="E1667" s="2">
        <v>14.4</v>
      </c>
      <c r="F1667" s="2">
        <v>7.8</v>
      </c>
      <c r="G1667" s="2">
        <v>8</v>
      </c>
      <c r="H1667" s="2" t="str">
        <f>VLOOKUP(A1667,Holidays!$A$2:$B$2107,2,1)</f>
        <v>Y</v>
      </c>
      <c r="I1667" s="2" t="str">
        <f>VLOOKUP(A1667,Holidays!$A$2:$C$2107,3,1)</f>
        <v>N</v>
      </c>
    </row>
    <row r="1668" spans="1:9" x14ac:dyDescent="0.45">
      <c r="A1668" s="1">
        <v>43671</v>
      </c>
      <c r="B1668">
        <v>132940.63</v>
      </c>
      <c r="C1668">
        <v>84.076210110000005</v>
      </c>
      <c r="D1668" s="2">
        <v>9.1999999999999993</v>
      </c>
      <c r="E1668" s="2">
        <v>14.8</v>
      </c>
      <c r="F1668" s="2">
        <v>5.2</v>
      </c>
      <c r="G1668" s="2">
        <v>0</v>
      </c>
      <c r="H1668" s="2" t="str">
        <f>VLOOKUP(A1668,Holidays!$A$2:$B$2107,2,1)</f>
        <v>Y</v>
      </c>
      <c r="I1668" s="2" t="str">
        <f>VLOOKUP(A1668,Holidays!$A$2:$C$2107,3,1)</f>
        <v>N</v>
      </c>
    </row>
    <row r="1669" spans="1:9" x14ac:dyDescent="0.45">
      <c r="A1669" s="1">
        <v>43672</v>
      </c>
      <c r="B1669">
        <v>136493.13</v>
      </c>
      <c r="C1669">
        <v>95.233217850000003</v>
      </c>
      <c r="D1669" s="2">
        <v>11</v>
      </c>
      <c r="E1669" s="2">
        <v>14</v>
      </c>
      <c r="F1669" s="2">
        <v>5.9</v>
      </c>
      <c r="G1669" s="2">
        <v>0</v>
      </c>
      <c r="H1669" s="2" t="str">
        <f>VLOOKUP(A1669,Holidays!$A$2:$B$2107,2,1)</f>
        <v>Y</v>
      </c>
      <c r="I1669" s="2" t="str">
        <f>VLOOKUP(A1669,Holidays!$A$2:$C$2107,3,1)</f>
        <v>N</v>
      </c>
    </row>
    <row r="1670" spans="1:9" x14ac:dyDescent="0.45">
      <c r="A1670" s="1">
        <v>43673</v>
      </c>
      <c r="B1670">
        <v>121958.69</v>
      </c>
      <c r="C1670">
        <v>94.375867150000005</v>
      </c>
      <c r="D1670" s="2">
        <v>9.8000000000000007</v>
      </c>
      <c r="E1670" s="2">
        <v>15.3</v>
      </c>
      <c r="F1670" s="2">
        <v>8.6999999999999993</v>
      </c>
      <c r="G1670" s="2">
        <v>6.8</v>
      </c>
      <c r="H1670" s="2" t="str">
        <f>VLOOKUP(A1670,Holidays!$A$2:$B$2107,2,1)</f>
        <v>Y</v>
      </c>
      <c r="I1670" s="2" t="str">
        <f>VLOOKUP(A1670,Holidays!$A$2:$C$2107,3,1)</f>
        <v>N</v>
      </c>
    </row>
    <row r="1671" spans="1:9" x14ac:dyDescent="0.45">
      <c r="A1671" s="1">
        <v>43674</v>
      </c>
      <c r="B1671">
        <v>118413.13499999999</v>
      </c>
      <c r="C1671">
        <v>85.712073040000007</v>
      </c>
      <c r="D1671" s="2">
        <v>6.6</v>
      </c>
      <c r="E1671" s="2">
        <v>15.1</v>
      </c>
      <c r="F1671" s="2">
        <v>10.199999999999999</v>
      </c>
      <c r="G1671" s="2">
        <v>0</v>
      </c>
      <c r="H1671" s="2" t="str">
        <f>VLOOKUP(A1671,Holidays!$A$2:$B$2107,2,1)</f>
        <v>Y</v>
      </c>
      <c r="I1671" s="2" t="str">
        <f>VLOOKUP(A1671,Holidays!$A$2:$C$2107,3,1)</f>
        <v>N</v>
      </c>
    </row>
    <row r="1672" spans="1:9" x14ac:dyDescent="0.45">
      <c r="A1672" s="1">
        <v>43675</v>
      </c>
      <c r="B1672">
        <v>133205.18</v>
      </c>
      <c r="C1672">
        <v>95.873752800000005</v>
      </c>
      <c r="D1672" s="2">
        <v>8.9</v>
      </c>
      <c r="E1672" s="2">
        <v>14.6</v>
      </c>
      <c r="F1672" s="2">
        <v>9.9</v>
      </c>
      <c r="G1672" s="2">
        <v>0</v>
      </c>
      <c r="H1672" s="2" t="str">
        <f>VLOOKUP(A1672,Holidays!$A$2:$B$2107,2,1)</f>
        <v>Y</v>
      </c>
      <c r="I1672" s="2" t="str">
        <f>VLOOKUP(A1672,Holidays!$A$2:$C$2107,3,1)</f>
        <v>N</v>
      </c>
    </row>
    <row r="1673" spans="1:9" x14ac:dyDescent="0.45">
      <c r="A1673" s="1">
        <v>43676</v>
      </c>
      <c r="B1673">
        <v>138858.04500000001</v>
      </c>
      <c r="C1673">
        <v>110.4700594</v>
      </c>
      <c r="D1673" s="2">
        <v>7.9</v>
      </c>
      <c r="E1673" s="2">
        <v>12.5</v>
      </c>
      <c r="F1673" s="2">
        <v>8.6999999999999993</v>
      </c>
      <c r="G1673" s="2">
        <v>0.8</v>
      </c>
      <c r="H1673" s="2" t="str">
        <f>VLOOKUP(A1673,Holidays!$A$2:$B$2107,2,1)</f>
        <v>Y</v>
      </c>
      <c r="I1673" s="2" t="str">
        <f>VLOOKUP(A1673,Holidays!$A$2:$C$2107,3,1)</f>
        <v>N</v>
      </c>
    </row>
    <row r="1674" spans="1:9" x14ac:dyDescent="0.45">
      <c r="A1674" s="1">
        <v>43677</v>
      </c>
      <c r="B1674">
        <v>140275.82999999999</v>
      </c>
      <c r="C1674">
        <v>153.26684940000001</v>
      </c>
      <c r="D1674" s="2">
        <v>3</v>
      </c>
      <c r="E1674" s="2">
        <v>12.5</v>
      </c>
      <c r="F1674" s="2">
        <v>11.3</v>
      </c>
      <c r="G1674" s="2">
        <v>0</v>
      </c>
      <c r="H1674" s="2" t="str">
        <f>VLOOKUP(A1674,Holidays!$A$2:$B$2107,2,1)</f>
        <v>Y</v>
      </c>
      <c r="I1674" s="2" t="str">
        <f>VLOOKUP(A1674,Holidays!$A$2:$C$2107,3,1)</f>
        <v>N</v>
      </c>
    </row>
    <row r="1675" spans="1:9" x14ac:dyDescent="0.45">
      <c r="A1675" s="1">
        <v>43678</v>
      </c>
      <c r="B1675">
        <v>137651.13500000001</v>
      </c>
      <c r="C1675">
        <v>98.967005540000002</v>
      </c>
      <c r="D1675" s="2">
        <v>5.8</v>
      </c>
      <c r="E1675" s="2">
        <v>13.8</v>
      </c>
      <c r="F1675" s="2">
        <v>8.6</v>
      </c>
      <c r="G1675" s="2">
        <v>0</v>
      </c>
      <c r="H1675" s="2" t="str">
        <f>VLOOKUP(A1675,Holidays!$A$2:$B$2107,2,1)</f>
        <v>Y</v>
      </c>
      <c r="I1675" s="2" t="str">
        <f>VLOOKUP(A1675,Holidays!$A$2:$C$2107,3,1)</f>
        <v>N</v>
      </c>
    </row>
    <row r="1676" spans="1:9" x14ac:dyDescent="0.45">
      <c r="A1676" s="1">
        <v>43679</v>
      </c>
      <c r="B1676">
        <v>135633.89000000001</v>
      </c>
      <c r="C1676">
        <v>106.56821669999999</v>
      </c>
      <c r="D1676" s="2">
        <v>9.6999999999999993</v>
      </c>
      <c r="E1676" s="2">
        <v>12.7</v>
      </c>
      <c r="F1676" s="2">
        <v>7.4</v>
      </c>
      <c r="G1676" s="2">
        <v>0.4</v>
      </c>
      <c r="H1676" s="2" t="str">
        <f>VLOOKUP(A1676,Holidays!$A$2:$B$2107,2,1)</f>
        <v>Y</v>
      </c>
      <c r="I1676" s="2" t="str">
        <f>VLOOKUP(A1676,Holidays!$A$2:$C$2107,3,1)</f>
        <v>N</v>
      </c>
    </row>
    <row r="1677" spans="1:9" x14ac:dyDescent="0.45">
      <c r="A1677" s="1">
        <v>43680</v>
      </c>
      <c r="B1677">
        <v>119933.7</v>
      </c>
      <c r="C1677">
        <v>121.53235650000001</v>
      </c>
      <c r="D1677" s="2">
        <v>10</v>
      </c>
      <c r="E1677" s="2">
        <v>13.9</v>
      </c>
      <c r="F1677" s="2">
        <v>6.2</v>
      </c>
      <c r="G1677" s="2">
        <v>0</v>
      </c>
      <c r="H1677" s="2" t="str">
        <f>VLOOKUP(A1677,Holidays!$A$2:$B$2107,2,1)</f>
        <v>Y</v>
      </c>
      <c r="I1677" s="2" t="str">
        <f>VLOOKUP(A1677,Holidays!$A$2:$C$2107,3,1)</f>
        <v>N</v>
      </c>
    </row>
    <row r="1678" spans="1:9" x14ac:dyDescent="0.45">
      <c r="A1678" s="1">
        <v>43681</v>
      </c>
      <c r="B1678">
        <v>120350.215</v>
      </c>
      <c r="C1678">
        <v>127.8811699</v>
      </c>
      <c r="D1678" s="2">
        <v>9.1999999999999993</v>
      </c>
      <c r="E1678" s="2">
        <v>13.1</v>
      </c>
      <c r="F1678" s="2">
        <v>7.2</v>
      </c>
      <c r="G1678" s="2">
        <v>1</v>
      </c>
      <c r="H1678" s="2" t="str">
        <f>VLOOKUP(A1678,Holidays!$A$2:$B$2107,2,1)</f>
        <v>Y</v>
      </c>
      <c r="I1678" s="2" t="str">
        <f>VLOOKUP(A1678,Holidays!$A$2:$C$2107,3,1)</f>
        <v>N</v>
      </c>
    </row>
    <row r="1679" spans="1:9" x14ac:dyDescent="0.45">
      <c r="A1679" s="1">
        <v>43682</v>
      </c>
      <c r="B1679">
        <v>125652.05499999999</v>
      </c>
      <c r="C1679">
        <v>108.4969239</v>
      </c>
      <c r="D1679" s="2">
        <v>10</v>
      </c>
      <c r="E1679" s="2">
        <v>15.8</v>
      </c>
      <c r="F1679" s="2">
        <v>10.7</v>
      </c>
      <c r="G1679" s="2">
        <v>0</v>
      </c>
      <c r="H1679" s="2" t="str">
        <f>VLOOKUP(A1679,Holidays!$A$2:$B$2107,2,1)</f>
        <v>Y</v>
      </c>
      <c r="I1679" s="2" t="str">
        <f>VLOOKUP(A1679,Holidays!$A$2:$C$2107,3,1)</f>
        <v>N</v>
      </c>
    </row>
    <row r="1680" spans="1:9" x14ac:dyDescent="0.45">
      <c r="A1680" s="1">
        <v>43683</v>
      </c>
      <c r="B1680">
        <v>132120.39000000001</v>
      </c>
      <c r="C1680">
        <v>89.427805109999994</v>
      </c>
      <c r="D1680" s="2">
        <v>9.1</v>
      </c>
      <c r="E1680" s="2">
        <v>13.5</v>
      </c>
      <c r="F1680" s="2">
        <v>4.5</v>
      </c>
      <c r="G1680" s="2">
        <v>0.4</v>
      </c>
      <c r="H1680" s="2" t="str">
        <f>VLOOKUP(A1680,Holidays!$A$2:$B$2107,2,1)</f>
        <v>Y</v>
      </c>
      <c r="I1680" s="2" t="str">
        <f>VLOOKUP(A1680,Holidays!$A$2:$C$2107,3,1)</f>
        <v>N</v>
      </c>
    </row>
    <row r="1681" spans="1:9" x14ac:dyDescent="0.45">
      <c r="A1681" s="1">
        <v>43684</v>
      </c>
      <c r="B1681">
        <v>136315.38</v>
      </c>
      <c r="C1681">
        <v>129.26252919999999</v>
      </c>
      <c r="D1681" s="2">
        <v>9.3000000000000007</v>
      </c>
      <c r="E1681" s="2">
        <v>14.1</v>
      </c>
      <c r="F1681" s="2">
        <v>7.5</v>
      </c>
      <c r="G1681" s="2">
        <v>0</v>
      </c>
      <c r="H1681" s="2" t="str">
        <f>VLOOKUP(A1681,Holidays!$A$2:$B$2107,2,1)</f>
        <v>Y</v>
      </c>
      <c r="I1681" s="2" t="str">
        <f>VLOOKUP(A1681,Holidays!$A$2:$C$2107,3,1)</f>
        <v>N</v>
      </c>
    </row>
    <row r="1682" spans="1:9" x14ac:dyDescent="0.45">
      <c r="A1682" s="1">
        <v>43685</v>
      </c>
      <c r="B1682">
        <v>133004.73000000001</v>
      </c>
      <c r="C1682">
        <v>95.454195279999993</v>
      </c>
      <c r="D1682" s="2">
        <v>6.7</v>
      </c>
      <c r="E1682" s="2">
        <v>13.9</v>
      </c>
      <c r="F1682" s="2">
        <v>9.6</v>
      </c>
      <c r="G1682" s="2">
        <v>10.8</v>
      </c>
      <c r="H1682" s="2" t="str">
        <f>VLOOKUP(A1682,Holidays!$A$2:$B$2107,2,1)</f>
        <v>Y</v>
      </c>
      <c r="I1682" s="2" t="str">
        <f>VLOOKUP(A1682,Holidays!$A$2:$C$2107,3,1)</f>
        <v>N</v>
      </c>
    </row>
    <row r="1683" spans="1:9" x14ac:dyDescent="0.45">
      <c r="A1683" s="1">
        <v>43686</v>
      </c>
      <c r="B1683">
        <v>142555.10500000001</v>
      </c>
      <c r="C1683">
        <v>119.9574815</v>
      </c>
      <c r="D1683" s="2">
        <v>7.8</v>
      </c>
      <c r="E1683" s="2">
        <v>10.1</v>
      </c>
      <c r="F1683" s="2">
        <v>7.3</v>
      </c>
      <c r="G1683" s="2">
        <v>2</v>
      </c>
      <c r="H1683" s="2" t="str">
        <f>VLOOKUP(A1683,Holidays!$A$2:$B$2107,2,1)</f>
        <v>Y</v>
      </c>
      <c r="I1683" s="2" t="str">
        <f>VLOOKUP(A1683,Holidays!$A$2:$C$2107,3,1)</f>
        <v>N</v>
      </c>
    </row>
    <row r="1684" spans="1:9" x14ac:dyDescent="0.45">
      <c r="A1684" s="1">
        <v>43687</v>
      </c>
      <c r="B1684">
        <v>128554.605</v>
      </c>
      <c r="C1684">
        <v>94.668808780000006</v>
      </c>
      <c r="D1684" s="2">
        <v>5.2</v>
      </c>
      <c r="E1684" s="2">
        <v>12.5</v>
      </c>
      <c r="F1684" s="2">
        <v>6.6</v>
      </c>
      <c r="G1684" s="2">
        <v>4.2</v>
      </c>
      <c r="H1684" s="2" t="str">
        <f>VLOOKUP(A1684,Holidays!$A$2:$B$2107,2,1)</f>
        <v>Y</v>
      </c>
      <c r="I1684" s="2" t="str">
        <f>VLOOKUP(A1684,Holidays!$A$2:$C$2107,3,1)</f>
        <v>N</v>
      </c>
    </row>
    <row r="1685" spans="1:9" x14ac:dyDescent="0.45">
      <c r="A1685" s="1">
        <v>43688</v>
      </c>
      <c r="B1685">
        <v>121028.325</v>
      </c>
      <c r="C1685">
        <v>98.101093950000006</v>
      </c>
      <c r="D1685" s="2">
        <v>4.8</v>
      </c>
      <c r="E1685" s="2">
        <v>12.9</v>
      </c>
      <c r="F1685" s="2">
        <v>11.4</v>
      </c>
      <c r="G1685" s="2">
        <v>6</v>
      </c>
      <c r="H1685" s="2" t="str">
        <f>VLOOKUP(A1685,Holidays!$A$2:$B$2107,2,1)</f>
        <v>Y</v>
      </c>
      <c r="I1685" s="2" t="str">
        <f>VLOOKUP(A1685,Holidays!$A$2:$C$2107,3,1)</f>
        <v>N</v>
      </c>
    </row>
    <row r="1686" spans="1:9" x14ac:dyDescent="0.45">
      <c r="A1686" s="1">
        <v>43689</v>
      </c>
      <c r="B1686">
        <v>136683.4</v>
      </c>
      <c r="C1686">
        <v>163.36163669999999</v>
      </c>
      <c r="D1686" s="2">
        <v>6.3</v>
      </c>
      <c r="E1686" s="2">
        <v>12</v>
      </c>
      <c r="F1686" s="2">
        <v>9.9</v>
      </c>
      <c r="G1686" s="2">
        <v>8.8000000000000007</v>
      </c>
      <c r="H1686" s="2" t="str">
        <f>VLOOKUP(A1686,Holidays!$A$2:$B$2107,2,1)</f>
        <v>Y</v>
      </c>
      <c r="I1686" s="2" t="str">
        <f>VLOOKUP(A1686,Holidays!$A$2:$C$2107,3,1)</f>
        <v>N</v>
      </c>
    </row>
    <row r="1687" spans="1:9" x14ac:dyDescent="0.45">
      <c r="A1687" s="1">
        <v>43690</v>
      </c>
      <c r="B1687">
        <v>141474.26500000001</v>
      </c>
      <c r="C1687">
        <v>267.34764990000002</v>
      </c>
      <c r="D1687" s="2">
        <v>8.8000000000000007</v>
      </c>
      <c r="E1687" s="2">
        <v>13.1</v>
      </c>
      <c r="F1687" s="2">
        <v>7</v>
      </c>
      <c r="G1687" s="2">
        <v>0</v>
      </c>
      <c r="H1687" s="2" t="str">
        <f>VLOOKUP(A1687,Holidays!$A$2:$B$2107,2,1)</f>
        <v>Y</v>
      </c>
      <c r="I1687" s="2" t="str">
        <f>VLOOKUP(A1687,Holidays!$A$2:$C$2107,3,1)</f>
        <v>N</v>
      </c>
    </row>
    <row r="1688" spans="1:9" x14ac:dyDescent="0.45">
      <c r="A1688" s="1">
        <v>43691</v>
      </c>
      <c r="B1688">
        <v>134681.435</v>
      </c>
      <c r="C1688">
        <v>123.8521422</v>
      </c>
      <c r="D1688" s="2">
        <v>9.1</v>
      </c>
      <c r="E1688" s="2">
        <v>13.8</v>
      </c>
      <c r="F1688" s="2">
        <v>6.7</v>
      </c>
      <c r="G1688" s="2">
        <v>0.2</v>
      </c>
      <c r="H1688" s="2" t="str">
        <f>VLOOKUP(A1688,Holidays!$A$2:$B$2107,2,1)</f>
        <v>Y</v>
      </c>
      <c r="I1688" s="2" t="str">
        <f>VLOOKUP(A1688,Holidays!$A$2:$C$2107,3,1)</f>
        <v>N</v>
      </c>
    </row>
    <row r="1689" spans="1:9" x14ac:dyDescent="0.45">
      <c r="A1689" s="1">
        <v>43692</v>
      </c>
      <c r="B1689">
        <v>128119.715</v>
      </c>
      <c r="C1689">
        <v>76.350980870000001</v>
      </c>
      <c r="D1689" s="2">
        <v>7.3</v>
      </c>
      <c r="E1689" s="2">
        <v>16.2</v>
      </c>
      <c r="F1689" s="2">
        <v>10.5</v>
      </c>
      <c r="G1689" s="2">
        <v>0</v>
      </c>
      <c r="H1689" s="2" t="str">
        <f>VLOOKUP(A1689,Holidays!$A$2:$B$2107,2,1)</f>
        <v>Y</v>
      </c>
      <c r="I1689" s="2" t="str">
        <f>VLOOKUP(A1689,Holidays!$A$2:$C$2107,3,1)</f>
        <v>N</v>
      </c>
    </row>
    <row r="1690" spans="1:9" x14ac:dyDescent="0.45">
      <c r="A1690" s="1">
        <v>43693</v>
      </c>
      <c r="B1690">
        <v>129781.155</v>
      </c>
      <c r="C1690">
        <v>100.0115921</v>
      </c>
      <c r="D1690" s="2">
        <v>10.6</v>
      </c>
      <c r="E1690" s="2">
        <v>16.899999999999999</v>
      </c>
      <c r="F1690" s="2">
        <v>6.3</v>
      </c>
      <c r="G1690" s="2">
        <v>0</v>
      </c>
      <c r="H1690" s="2" t="str">
        <f>VLOOKUP(A1690,Holidays!$A$2:$B$2107,2,1)</f>
        <v>Y</v>
      </c>
      <c r="I1690" s="2" t="str">
        <f>VLOOKUP(A1690,Holidays!$A$2:$C$2107,3,1)</f>
        <v>N</v>
      </c>
    </row>
    <row r="1691" spans="1:9" x14ac:dyDescent="0.45">
      <c r="A1691" s="1">
        <v>43694</v>
      </c>
      <c r="B1691">
        <v>115460.6</v>
      </c>
      <c r="C1691">
        <v>75.491413320000007</v>
      </c>
      <c r="D1691" s="2">
        <v>7</v>
      </c>
      <c r="E1691" s="2">
        <v>16.5</v>
      </c>
      <c r="F1691" s="2">
        <v>13.4</v>
      </c>
      <c r="G1691" s="2">
        <v>3.8</v>
      </c>
      <c r="H1691" s="2" t="str">
        <f>VLOOKUP(A1691,Holidays!$A$2:$B$2107,2,1)</f>
        <v>Y</v>
      </c>
      <c r="I1691" s="2" t="str">
        <f>VLOOKUP(A1691,Holidays!$A$2:$C$2107,3,1)</f>
        <v>N</v>
      </c>
    </row>
    <row r="1692" spans="1:9" x14ac:dyDescent="0.45">
      <c r="A1692" s="1">
        <v>43695</v>
      </c>
      <c r="B1692">
        <v>110816.375</v>
      </c>
      <c r="C1692">
        <v>52.024492690000002</v>
      </c>
      <c r="D1692" s="2">
        <v>8.8000000000000007</v>
      </c>
      <c r="E1692" s="2">
        <v>19.399999999999999</v>
      </c>
      <c r="F1692" s="2">
        <v>9.3000000000000007</v>
      </c>
      <c r="G1692" s="2">
        <v>0</v>
      </c>
      <c r="H1692" s="2" t="str">
        <f>VLOOKUP(A1692,Holidays!$A$2:$B$2107,2,1)</f>
        <v>Y</v>
      </c>
      <c r="I1692" s="2" t="str">
        <f>VLOOKUP(A1692,Holidays!$A$2:$C$2107,3,1)</f>
        <v>N</v>
      </c>
    </row>
    <row r="1693" spans="1:9" x14ac:dyDescent="0.45">
      <c r="A1693" s="1">
        <v>43696</v>
      </c>
      <c r="B1693">
        <v>131067.25</v>
      </c>
      <c r="C1693">
        <v>81.723625240000004</v>
      </c>
      <c r="D1693" s="2">
        <v>5.8</v>
      </c>
      <c r="E1693" s="2">
        <v>12.3</v>
      </c>
      <c r="F1693" s="2">
        <v>12.8</v>
      </c>
      <c r="G1693" s="2">
        <v>4</v>
      </c>
      <c r="H1693" s="2" t="str">
        <f>VLOOKUP(A1693,Holidays!$A$2:$B$2107,2,1)</f>
        <v>Y</v>
      </c>
      <c r="I1693" s="2" t="str">
        <f>VLOOKUP(A1693,Holidays!$A$2:$C$2107,3,1)</f>
        <v>N</v>
      </c>
    </row>
    <row r="1694" spans="1:9" x14ac:dyDescent="0.45">
      <c r="A1694" s="1">
        <v>43697</v>
      </c>
      <c r="B1694">
        <v>131438.54999999999</v>
      </c>
      <c r="C1694">
        <v>61.926547419999999</v>
      </c>
      <c r="D1694" s="2">
        <v>7.6</v>
      </c>
      <c r="E1694" s="2">
        <v>17</v>
      </c>
      <c r="F1694" s="2">
        <v>7.2</v>
      </c>
      <c r="G1694" s="2">
        <v>0.4</v>
      </c>
      <c r="H1694" s="2" t="str">
        <f>VLOOKUP(A1694,Holidays!$A$2:$B$2107,2,1)</f>
        <v>Y</v>
      </c>
      <c r="I1694" s="2" t="str">
        <f>VLOOKUP(A1694,Holidays!$A$2:$C$2107,3,1)</f>
        <v>N</v>
      </c>
    </row>
    <row r="1695" spans="1:9" x14ac:dyDescent="0.45">
      <c r="A1695" s="1">
        <v>43698</v>
      </c>
      <c r="B1695">
        <v>120747.08</v>
      </c>
      <c r="C1695">
        <v>54.386880320000003</v>
      </c>
      <c r="D1695" s="2">
        <v>11.5</v>
      </c>
      <c r="E1695" s="2">
        <v>16.600000000000001</v>
      </c>
      <c r="F1695" s="2">
        <v>11.5</v>
      </c>
      <c r="G1695" s="2">
        <v>0.2</v>
      </c>
      <c r="H1695" s="2" t="str">
        <f>VLOOKUP(A1695,Holidays!$A$2:$B$2107,2,1)</f>
        <v>Y</v>
      </c>
      <c r="I1695" s="2" t="str">
        <f>VLOOKUP(A1695,Holidays!$A$2:$C$2107,3,1)</f>
        <v>N</v>
      </c>
    </row>
    <row r="1696" spans="1:9" x14ac:dyDescent="0.45">
      <c r="A1696" s="1">
        <v>43699</v>
      </c>
      <c r="B1696">
        <v>127697.99</v>
      </c>
      <c r="C1696">
        <v>89.139147589999993</v>
      </c>
      <c r="D1696" s="2">
        <v>9.6</v>
      </c>
      <c r="E1696" s="2">
        <v>13</v>
      </c>
      <c r="F1696" s="2">
        <v>11.3</v>
      </c>
      <c r="G1696" s="2">
        <v>1.6</v>
      </c>
      <c r="H1696" s="2" t="str">
        <f>VLOOKUP(A1696,Holidays!$A$2:$B$2107,2,1)</f>
        <v>Y</v>
      </c>
      <c r="I1696" s="2" t="str">
        <f>VLOOKUP(A1696,Holidays!$A$2:$C$2107,3,1)</f>
        <v>N</v>
      </c>
    </row>
    <row r="1697" spans="1:9" x14ac:dyDescent="0.45">
      <c r="A1697" s="1">
        <v>43700</v>
      </c>
      <c r="B1697">
        <v>126763.36500000001</v>
      </c>
      <c r="C1697">
        <v>91.098931109999995</v>
      </c>
      <c r="D1697" s="2">
        <v>3.8</v>
      </c>
      <c r="E1697" s="2">
        <v>15.1</v>
      </c>
      <c r="F1697" s="2">
        <v>14.5</v>
      </c>
      <c r="G1697" s="2">
        <v>0</v>
      </c>
      <c r="H1697" s="2" t="str">
        <f>VLOOKUP(A1697,Holidays!$A$2:$B$2107,2,1)</f>
        <v>Y</v>
      </c>
      <c r="I1697" s="2" t="str">
        <f>VLOOKUP(A1697,Holidays!$A$2:$C$2107,3,1)</f>
        <v>N</v>
      </c>
    </row>
    <row r="1698" spans="1:9" x14ac:dyDescent="0.45">
      <c r="A1698" s="1">
        <v>43701</v>
      </c>
      <c r="B1698">
        <v>107303.47500000001</v>
      </c>
      <c r="C1698">
        <v>55.149898819999997</v>
      </c>
      <c r="D1698" s="2">
        <v>7.9</v>
      </c>
      <c r="E1698" s="2">
        <v>18</v>
      </c>
      <c r="F1698" s="2">
        <v>13</v>
      </c>
      <c r="G1698" s="2">
        <v>0</v>
      </c>
      <c r="H1698" s="2" t="str">
        <f>VLOOKUP(A1698,Holidays!$A$2:$B$2107,2,1)</f>
        <v>Y</v>
      </c>
      <c r="I1698" s="2" t="str">
        <f>VLOOKUP(A1698,Holidays!$A$2:$C$2107,3,1)</f>
        <v>N</v>
      </c>
    </row>
    <row r="1699" spans="1:9" x14ac:dyDescent="0.45">
      <c r="A1699" s="1">
        <v>43702</v>
      </c>
      <c r="B1699">
        <v>113980.3</v>
      </c>
      <c r="C1699">
        <v>119.3055933</v>
      </c>
      <c r="D1699" s="2">
        <v>6.5</v>
      </c>
      <c r="E1699" s="2">
        <v>12.9</v>
      </c>
      <c r="F1699" s="2">
        <v>13.9</v>
      </c>
      <c r="G1699" s="2">
        <v>1.2</v>
      </c>
      <c r="H1699" s="2" t="str">
        <f>VLOOKUP(A1699,Holidays!$A$2:$B$2107,2,1)</f>
        <v>Y</v>
      </c>
      <c r="I1699" s="2" t="str">
        <f>VLOOKUP(A1699,Holidays!$A$2:$C$2107,3,1)</f>
        <v>N</v>
      </c>
    </row>
    <row r="1700" spans="1:9" x14ac:dyDescent="0.45">
      <c r="A1700" s="1">
        <v>43703</v>
      </c>
      <c r="B1700">
        <v>132704.36499999999</v>
      </c>
      <c r="C1700">
        <v>142.18481030000001</v>
      </c>
      <c r="D1700" s="2">
        <v>5.3</v>
      </c>
      <c r="E1700" s="2">
        <v>14.4</v>
      </c>
      <c r="F1700" s="2">
        <v>14.7</v>
      </c>
      <c r="G1700" s="2">
        <v>0</v>
      </c>
      <c r="H1700" s="2" t="str">
        <f>VLOOKUP(A1700,Holidays!$A$2:$B$2107,2,1)</f>
        <v>Y</v>
      </c>
      <c r="I1700" s="2" t="str">
        <f>VLOOKUP(A1700,Holidays!$A$2:$C$2107,3,1)</f>
        <v>N</v>
      </c>
    </row>
    <row r="1701" spans="1:9" x14ac:dyDescent="0.45">
      <c r="A1701" s="1">
        <v>43704</v>
      </c>
      <c r="B1701">
        <v>130964.88499999999</v>
      </c>
      <c r="C1701">
        <v>131.1074194</v>
      </c>
      <c r="D1701" s="2">
        <v>4.2</v>
      </c>
      <c r="E1701" s="2">
        <v>15.3</v>
      </c>
      <c r="F1701" s="2">
        <v>12.9</v>
      </c>
      <c r="G1701" s="2">
        <v>0</v>
      </c>
      <c r="H1701" s="2" t="str">
        <f>VLOOKUP(A1701,Holidays!$A$2:$B$2107,2,1)</f>
        <v>Y</v>
      </c>
      <c r="I1701" s="2" t="str">
        <f>VLOOKUP(A1701,Holidays!$A$2:$C$2107,3,1)</f>
        <v>N</v>
      </c>
    </row>
    <row r="1702" spans="1:9" x14ac:dyDescent="0.45">
      <c r="A1702" s="1">
        <v>43705</v>
      </c>
      <c r="B1702">
        <v>137660.94</v>
      </c>
      <c r="C1702">
        <v>140.94202110000001</v>
      </c>
      <c r="D1702" s="2">
        <v>8.3000000000000007</v>
      </c>
      <c r="E1702" s="2">
        <v>13.4</v>
      </c>
      <c r="F1702" s="2">
        <v>5</v>
      </c>
      <c r="G1702" s="2">
        <v>0</v>
      </c>
      <c r="H1702" s="2" t="str">
        <f>VLOOKUP(A1702,Holidays!$A$2:$B$2107,2,1)</f>
        <v>Y</v>
      </c>
      <c r="I1702" s="2" t="str">
        <f>VLOOKUP(A1702,Holidays!$A$2:$C$2107,3,1)</f>
        <v>N</v>
      </c>
    </row>
    <row r="1703" spans="1:9" x14ac:dyDescent="0.45">
      <c r="A1703" s="1">
        <v>43706</v>
      </c>
      <c r="B1703">
        <v>134233.345</v>
      </c>
      <c r="C1703">
        <v>135.2468604</v>
      </c>
      <c r="D1703" s="2">
        <v>6.1</v>
      </c>
      <c r="E1703" s="2">
        <v>13</v>
      </c>
      <c r="F1703" s="2">
        <v>13.2</v>
      </c>
      <c r="G1703" s="2">
        <v>6.2</v>
      </c>
      <c r="H1703" s="2" t="str">
        <f>VLOOKUP(A1703,Holidays!$A$2:$B$2107,2,1)</f>
        <v>Y</v>
      </c>
      <c r="I1703" s="2" t="str">
        <f>VLOOKUP(A1703,Holidays!$A$2:$C$2107,3,1)</f>
        <v>N</v>
      </c>
    </row>
    <row r="1704" spans="1:9" x14ac:dyDescent="0.45">
      <c r="A1704" s="1">
        <v>43707</v>
      </c>
      <c r="B1704">
        <v>131871.07999999999</v>
      </c>
      <c r="C1704">
        <v>185.2052836</v>
      </c>
      <c r="D1704" s="2">
        <v>2.2999999999999998</v>
      </c>
      <c r="E1704" s="2">
        <v>15.3</v>
      </c>
      <c r="F1704" s="2">
        <v>15.6</v>
      </c>
      <c r="G1704" s="2">
        <v>0.2</v>
      </c>
      <c r="H1704" s="2" t="str">
        <f>VLOOKUP(A1704,Holidays!$A$2:$B$2107,2,1)</f>
        <v>Y</v>
      </c>
      <c r="I1704" s="2" t="str">
        <f>VLOOKUP(A1704,Holidays!$A$2:$C$2107,3,1)</f>
        <v>N</v>
      </c>
    </row>
    <row r="1705" spans="1:9" x14ac:dyDescent="0.45">
      <c r="A1705" s="1">
        <v>43708</v>
      </c>
      <c r="B1705">
        <v>107616.03</v>
      </c>
      <c r="C1705">
        <v>79.347198370000001</v>
      </c>
      <c r="D1705" s="2">
        <v>5</v>
      </c>
      <c r="E1705" s="2">
        <v>18.2</v>
      </c>
      <c r="F1705" s="2">
        <v>15.8</v>
      </c>
      <c r="G1705" s="2">
        <v>0</v>
      </c>
      <c r="H1705" s="2" t="str">
        <f>VLOOKUP(A1705,Holidays!$A$2:$B$2107,2,1)</f>
        <v>Y</v>
      </c>
      <c r="I1705" s="2" t="str">
        <f>VLOOKUP(A1705,Holidays!$A$2:$C$2107,3,1)</f>
        <v>N</v>
      </c>
    </row>
    <row r="1706" spans="1:9" x14ac:dyDescent="0.45">
      <c r="A1706" s="1">
        <v>43709</v>
      </c>
      <c r="B1706">
        <v>106779.47500000001</v>
      </c>
      <c r="C1706">
        <v>75.512741539999993</v>
      </c>
      <c r="D1706" s="2">
        <v>11.1</v>
      </c>
      <c r="E1706" s="2">
        <v>19.600000000000001</v>
      </c>
      <c r="F1706" s="2">
        <v>9.4</v>
      </c>
      <c r="G1706" s="2">
        <v>0</v>
      </c>
      <c r="H1706" s="2" t="str">
        <f>VLOOKUP(A1706,Holidays!$A$2:$B$2107,2,1)</f>
        <v>Y</v>
      </c>
      <c r="I1706" s="2" t="str">
        <f>VLOOKUP(A1706,Holidays!$A$2:$C$2107,3,1)</f>
        <v>N</v>
      </c>
    </row>
    <row r="1707" spans="1:9" x14ac:dyDescent="0.45">
      <c r="A1707" s="1">
        <v>43710</v>
      </c>
      <c r="B1707">
        <v>121697.38</v>
      </c>
      <c r="C1707">
        <v>92.691088919999999</v>
      </c>
      <c r="D1707" s="2">
        <v>10.199999999999999</v>
      </c>
      <c r="E1707" s="2">
        <v>17.600000000000001</v>
      </c>
      <c r="F1707" s="2">
        <v>13.8</v>
      </c>
      <c r="G1707" s="2">
        <v>2.4</v>
      </c>
      <c r="H1707" s="2" t="str">
        <f>VLOOKUP(A1707,Holidays!$A$2:$B$2107,2,1)</f>
        <v>Y</v>
      </c>
      <c r="I1707" s="2" t="str">
        <f>VLOOKUP(A1707,Holidays!$A$2:$C$2107,3,1)</f>
        <v>N</v>
      </c>
    </row>
    <row r="1708" spans="1:9" x14ac:dyDescent="0.45">
      <c r="A1708" s="1">
        <v>43711</v>
      </c>
      <c r="B1708">
        <v>118871.215</v>
      </c>
      <c r="C1708">
        <v>114.88625949999999</v>
      </c>
      <c r="D1708" s="2">
        <v>9.1999999999999993</v>
      </c>
      <c r="E1708" s="2">
        <v>19.600000000000001</v>
      </c>
      <c r="F1708" s="2">
        <v>16.399999999999999</v>
      </c>
      <c r="G1708" s="2">
        <v>0.6</v>
      </c>
      <c r="H1708" s="2" t="str">
        <f>VLOOKUP(A1708,Holidays!$A$2:$B$2107,2,1)</f>
        <v>Y</v>
      </c>
      <c r="I1708" s="2" t="str">
        <f>VLOOKUP(A1708,Holidays!$A$2:$C$2107,3,1)</f>
        <v>N</v>
      </c>
    </row>
    <row r="1709" spans="1:9" x14ac:dyDescent="0.45">
      <c r="A1709" s="1">
        <v>43712</v>
      </c>
      <c r="B1709">
        <v>122652.81</v>
      </c>
      <c r="C1709">
        <v>144.39343450000001</v>
      </c>
      <c r="D1709" s="2">
        <v>8.1999999999999993</v>
      </c>
      <c r="E1709" s="2">
        <v>18.7</v>
      </c>
      <c r="F1709" s="2">
        <v>15.1</v>
      </c>
      <c r="G1709" s="2">
        <v>0</v>
      </c>
      <c r="H1709" s="2" t="str">
        <f>VLOOKUP(A1709,Holidays!$A$2:$B$2107,2,1)</f>
        <v>Y</v>
      </c>
      <c r="I1709" s="2" t="str">
        <f>VLOOKUP(A1709,Holidays!$A$2:$C$2107,3,1)</f>
        <v>N</v>
      </c>
    </row>
    <row r="1710" spans="1:9" x14ac:dyDescent="0.45">
      <c r="A1710" s="1">
        <v>43713</v>
      </c>
      <c r="B1710">
        <v>120223.175</v>
      </c>
      <c r="C1710">
        <v>99.345443470000006</v>
      </c>
      <c r="D1710" s="2">
        <v>8.6999999999999993</v>
      </c>
      <c r="E1710" s="2">
        <v>21.2</v>
      </c>
      <c r="F1710" s="2">
        <v>14.8</v>
      </c>
      <c r="G1710" s="2">
        <v>3.4</v>
      </c>
      <c r="H1710" s="2" t="str">
        <f>VLOOKUP(A1710,Holidays!$A$2:$B$2107,2,1)</f>
        <v>Y</v>
      </c>
      <c r="I1710" s="2" t="str">
        <f>VLOOKUP(A1710,Holidays!$A$2:$C$2107,3,1)</f>
        <v>N</v>
      </c>
    </row>
    <row r="1711" spans="1:9" x14ac:dyDescent="0.45">
      <c r="A1711" s="1">
        <v>43714</v>
      </c>
      <c r="B1711">
        <v>122222.69</v>
      </c>
      <c r="C1711">
        <v>67.972754190000003</v>
      </c>
      <c r="D1711" s="2">
        <v>11.3</v>
      </c>
      <c r="E1711" s="2">
        <v>16</v>
      </c>
      <c r="F1711" s="2">
        <v>10.4</v>
      </c>
      <c r="G1711" s="2">
        <v>2</v>
      </c>
      <c r="H1711" s="2" t="str">
        <f>VLOOKUP(A1711,Holidays!$A$2:$B$2107,2,1)</f>
        <v>Y</v>
      </c>
      <c r="I1711" s="2" t="str">
        <f>VLOOKUP(A1711,Holidays!$A$2:$C$2107,3,1)</f>
        <v>N</v>
      </c>
    </row>
    <row r="1712" spans="1:9" x14ac:dyDescent="0.45">
      <c r="A1712" s="1">
        <v>43715</v>
      </c>
      <c r="B1712">
        <v>115200.19</v>
      </c>
      <c r="C1712">
        <v>73.467962999999997</v>
      </c>
      <c r="D1712" s="2">
        <v>8.8000000000000007</v>
      </c>
      <c r="E1712" s="2">
        <v>12.9</v>
      </c>
      <c r="F1712" s="2">
        <v>11.3</v>
      </c>
      <c r="G1712" s="2">
        <v>1</v>
      </c>
      <c r="H1712" s="2" t="str">
        <f>VLOOKUP(A1712,Holidays!$A$2:$B$2107,2,1)</f>
        <v>Y</v>
      </c>
      <c r="I1712" s="2" t="str">
        <f>VLOOKUP(A1712,Holidays!$A$2:$C$2107,3,1)</f>
        <v>N</v>
      </c>
    </row>
    <row r="1713" spans="1:9" x14ac:dyDescent="0.45">
      <c r="A1713" s="1">
        <v>43716</v>
      </c>
      <c r="B1713">
        <v>116999.07</v>
      </c>
      <c r="C1713">
        <v>65.376438919999998</v>
      </c>
      <c r="D1713" s="2">
        <v>8.1999999999999993</v>
      </c>
      <c r="E1713" s="2">
        <v>15.1</v>
      </c>
      <c r="F1713" s="2">
        <v>9.5</v>
      </c>
      <c r="G1713" s="2">
        <v>0.6</v>
      </c>
      <c r="H1713" s="2" t="str">
        <f>VLOOKUP(A1713,Holidays!$A$2:$B$2107,2,1)</f>
        <v>Y</v>
      </c>
      <c r="I1713" s="2" t="str">
        <f>VLOOKUP(A1713,Holidays!$A$2:$C$2107,3,1)</f>
        <v>N</v>
      </c>
    </row>
    <row r="1714" spans="1:9" x14ac:dyDescent="0.45">
      <c r="A1714" s="1">
        <v>43717</v>
      </c>
      <c r="B1714">
        <v>130448.11500000001</v>
      </c>
      <c r="C1714">
        <v>92.613968850000006</v>
      </c>
      <c r="D1714" s="2">
        <v>6.8</v>
      </c>
      <c r="E1714" s="2">
        <v>12.8</v>
      </c>
      <c r="F1714" s="2">
        <v>14.4</v>
      </c>
      <c r="G1714" s="2">
        <v>5.6</v>
      </c>
      <c r="H1714" s="2" t="str">
        <f>VLOOKUP(A1714,Holidays!$A$2:$B$2107,2,1)</f>
        <v>Y</v>
      </c>
      <c r="I1714" s="2" t="str">
        <f>VLOOKUP(A1714,Holidays!$A$2:$C$2107,3,1)</f>
        <v>N</v>
      </c>
    </row>
    <row r="1715" spans="1:9" x14ac:dyDescent="0.45">
      <c r="A1715" s="1">
        <v>43718</v>
      </c>
      <c r="B1715">
        <v>131665.01500000001</v>
      </c>
      <c r="C1715">
        <v>150.02796119999999</v>
      </c>
      <c r="D1715" s="2">
        <v>7.7</v>
      </c>
      <c r="E1715" s="2">
        <v>14.8</v>
      </c>
      <c r="F1715" s="2">
        <v>16.100000000000001</v>
      </c>
      <c r="G1715" s="2">
        <v>2.6</v>
      </c>
      <c r="H1715" s="2" t="str">
        <f>VLOOKUP(A1715,Holidays!$A$2:$B$2107,2,1)</f>
        <v>Y</v>
      </c>
      <c r="I1715" s="2" t="str">
        <f>VLOOKUP(A1715,Holidays!$A$2:$C$2107,3,1)</f>
        <v>N</v>
      </c>
    </row>
    <row r="1716" spans="1:9" x14ac:dyDescent="0.45">
      <c r="A1716" s="1">
        <v>43719</v>
      </c>
      <c r="B1716">
        <v>121100.045</v>
      </c>
      <c r="C1716">
        <v>83.052148279999997</v>
      </c>
      <c r="D1716" s="2">
        <v>5</v>
      </c>
      <c r="E1716" s="2">
        <v>20.8</v>
      </c>
      <c r="F1716" s="2">
        <v>17.8</v>
      </c>
      <c r="G1716" s="2">
        <v>0</v>
      </c>
      <c r="H1716" s="2" t="str">
        <f>VLOOKUP(A1716,Holidays!$A$2:$B$2107,2,1)</f>
        <v>Y</v>
      </c>
      <c r="I1716" s="2" t="str">
        <f>VLOOKUP(A1716,Holidays!$A$2:$C$2107,3,1)</f>
        <v>N</v>
      </c>
    </row>
    <row r="1717" spans="1:9" x14ac:dyDescent="0.45">
      <c r="A1717" s="1">
        <v>43720</v>
      </c>
      <c r="B1717">
        <v>118723.07</v>
      </c>
      <c r="C1717">
        <v>76.526618920000004</v>
      </c>
      <c r="D1717" s="2">
        <v>11.1</v>
      </c>
      <c r="E1717" s="2">
        <v>20.8</v>
      </c>
      <c r="F1717" s="2">
        <v>11.8</v>
      </c>
      <c r="G1717" s="2">
        <v>0</v>
      </c>
      <c r="H1717" s="2" t="str">
        <f>VLOOKUP(A1717,Holidays!$A$2:$B$2107,2,1)</f>
        <v>Y</v>
      </c>
      <c r="I1717" s="2" t="str">
        <f>VLOOKUP(A1717,Holidays!$A$2:$C$2107,3,1)</f>
        <v>N</v>
      </c>
    </row>
    <row r="1718" spans="1:9" x14ac:dyDescent="0.45">
      <c r="A1718" s="1">
        <v>43721</v>
      </c>
      <c r="B1718">
        <v>120349.015</v>
      </c>
      <c r="C1718">
        <v>108.21402329999999</v>
      </c>
      <c r="D1718" s="2">
        <v>7.7</v>
      </c>
      <c r="E1718" s="2">
        <v>18.600000000000001</v>
      </c>
      <c r="F1718" s="2">
        <v>14</v>
      </c>
      <c r="G1718" s="2">
        <v>0</v>
      </c>
      <c r="H1718" s="2" t="str">
        <f>VLOOKUP(A1718,Holidays!$A$2:$B$2107,2,1)</f>
        <v>Y</v>
      </c>
      <c r="I1718" s="2" t="str">
        <f>VLOOKUP(A1718,Holidays!$A$2:$C$2107,3,1)</f>
        <v>N</v>
      </c>
    </row>
    <row r="1719" spans="1:9" x14ac:dyDescent="0.45">
      <c r="A1719" s="1">
        <v>43722</v>
      </c>
      <c r="B1719">
        <v>103500.955</v>
      </c>
      <c r="C1719">
        <v>106.46105230000001</v>
      </c>
      <c r="D1719" s="2">
        <v>9.3000000000000007</v>
      </c>
      <c r="E1719" s="2">
        <v>20</v>
      </c>
      <c r="F1719" s="2">
        <v>18.3</v>
      </c>
      <c r="G1719" s="2">
        <v>0</v>
      </c>
      <c r="H1719" s="2" t="str">
        <f>VLOOKUP(A1719,Holidays!$A$2:$B$2107,2,1)</f>
        <v>Y</v>
      </c>
      <c r="I1719" s="2" t="str">
        <f>VLOOKUP(A1719,Holidays!$A$2:$C$2107,3,1)</f>
        <v>N</v>
      </c>
    </row>
    <row r="1720" spans="1:9" x14ac:dyDescent="0.45">
      <c r="A1720" s="1">
        <v>43723</v>
      </c>
      <c r="B1720">
        <v>105149.02</v>
      </c>
      <c r="C1720">
        <v>87.630074989999997</v>
      </c>
      <c r="D1720" s="2">
        <v>12.4</v>
      </c>
      <c r="E1720" s="2">
        <v>21.8</v>
      </c>
      <c r="F1720" s="2">
        <v>8.4</v>
      </c>
      <c r="G1720" s="2">
        <v>1.6</v>
      </c>
      <c r="H1720" s="2" t="str">
        <f>VLOOKUP(A1720,Holidays!$A$2:$B$2107,2,1)</f>
        <v>Y</v>
      </c>
      <c r="I1720" s="2" t="str">
        <f>VLOOKUP(A1720,Holidays!$A$2:$C$2107,3,1)</f>
        <v>N</v>
      </c>
    </row>
    <row r="1721" spans="1:9" x14ac:dyDescent="0.45">
      <c r="A1721" s="1">
        <v>43724</v>
      </c>
      <c r="B1721">
        <v>119362.235</v>
      </c>
      <c r="C1721">
        <v>137.46735670000001</v>
      </c>
      <c r="D1721" s="2">
        <v>9.6999999999999993</v>
      </c>
      <c r="E1721" s="2">
        <v>12.8</v>
      </c>
      <c r="F1721" s="2">
        <v>17.7</v>
      </c>
      <c r="G1721" s="2">
        <v>13</v>
      </c>
      <c r="H1721" s="2" t="str">
        <f>VLOOKUP(A1721,Holidays!$A$2:$B$2107,2,1)</f>
        <v>Y</v>
      </c>
      <c r="I1721" s="2" t="str">
        <f>VLOOKUP(A1721,Holidays!$A$2:$C$2107,3,1)</f>
        <v>N</v>
      </c>
    </row>
    <row r="1722" spans="1:9" x14ac:dyDescent="0.45">
      <c r="A1722" s="1">
        <v>43725</v>
      </c>
      <c r="B1722">
        <v>124129.44</v>
      </c>
      <c r="C1722">
        <v>149.599176</v>
      </c>
      <c r="D1722" s="2">
        <v>3.6</v>
      </c>
      <c r="E1722" s="2">
        <v>14.8</v>
      </c>
      <c r="F1722" s="2">
        <v>19</v>
      </c>
      <c r="G1722" s="2">
        <v>0</v>
      </c>
      <c r="H1722" s="2" t="str">
        <f>VLOOKUP(A1722,Holidays!$A$2:$B$2107,2,1)</f>
        <v>Y</v>
      </c>
      <c r="I1722" s="2" t="str">
        <f>VLOOKUP(A1722,Holidays!$A$2:$C$2107,3,1)</f>
        <v>N</v>
      </c>
    </row>
    <row r="1723" spans="1:9" x14ac:dyDescent="0.45">
      <c r="A1723" s="1">
        <v>43726</v>
      </c>
      <c r="B1723">
        <v>119715.705</v>
      </c>
      <c r="C1723">
        <v>151.2558046</v>
      </c>
      <c r="D1723" s="2">
        <v>4.3</v>
      </c>
      <c r="E1723" s="2">
        <v>18.899999999999999</v>
      </c>
      <c r="F1723" s="2">
        <v>19.2</v>
      </c>
      <c r="G1723" s="2">
        <v>0</v>
      </c>
      <c r="H1723" s="2" t="str">
        <f>VLOOKUP(A1723,Holidays!$A$2:$B$2107,2,1)</f>
        <v>Y</v>
      </c>
      <c r="I1723" s="2" t="str">
        <f>VLOOKUP(A1723,Holidays!$A$2:$C$2107,3,1)</f>
        <v>N</v>
      </c>
    </row>
    <row r="1724" spans="1:9" x14ac:dyDescent="0.45">
      <c r="A1724" s="1">
        <v>43727</v>
      </c>
      <c r="B1724">
        <v>108102.56</v>
      </c>
      <c r="C1724">
        <v>82.43824146</v>
      </c>
      <c r="D1724" s="2">
        <v>8.1999999999999993</v>
      </c>
      <c r="E1724" s="2">
        <v>24</v>
      </c>
      <c r="F1724" s="2">
        <v>19.399999999999999</v>
      </c>
      <c r="G1724" s="2">
        <v>0</v>
      </c>
      <c r="H1724" s="2" t="str">
        <f>VLOOKUP(A1724,Holidays!$A$2:$B$2107,2,1)</f>
        <v>Y</v>
      </c>
      <c r="I1724" s="2" t="str">
        <f>VLOOKUP(A1724,Holidays!$A$2:$C$2107,3,1)</f>
        <v>N</v>
      </c>
    </row>
    <row r="1725" spans="1:9" x14ac:dyDescent="0.45">
      <c r="A1725" s="1">
        <v>43728</v>
      </c>
      <c r="B1725">
        <v>107222.345</v>
      </c>
      <c r="C1725">
        <v>106.2793137</v>
      </c>
      <c r="D1725" s="2">
        <v>15.7</v>
      </c>
      <c r="E1725" s="2">
        <v>26.2</v>
      </c>
      <c r="F1725" s="2">
        <v>14.4</v>
      </c>
      <c r="G1725" s="2">
        <v>0</v>
      </c>
      <c r="H1725" s="2" t="str">
        <f>VLOOKUP(A1725,Holidays!$A$2:$B$2107,2,1)</f>
        <v>N</v>
      </c>
      <c r="I1725" s="2" t="str">
        <f>VLOOKUP(A1725,Holidays!$A$2:$C$2107,3,1)</f>
        <v>N</v>
      </c>
    </row>
    <row r="1726" spans="1:9" x14ac:dyDescent="0.45">
      <c r="A1726" s="1">
        <v>43729</v>
      </c>
      <c r="B1726">
        <v>101348.35</v>
      </c>
      <c r="C1726">
        <v>112.25774509999999</v>
      </c>
      <c r="D1726" s="2">
        <v>14.5</v>
      </c>
      <c r="E1726" s="2">
        <v>19.399999999999999</v>
      </c>
      <c r="F1726" s="2">
        <v>10.5</v>
      </c>
      <c r="G1726" s="2">
        <v>0</v>
      </c>
      <c r="H1726" s="2" t="str">
        <f>VLOOKUP(A1726,Holidays!$A$2:$B$2107,2,1)</f>
        <v>N</v>
      </c>
      <c r="I1726" s="2" t="str">
        <f>VLOOKUP(A1726,Holidays!$A$2:$C$2107,3,1)</f>
        <v>N</v>
      </c>
    </row>
    <row r="1727" spans="1:9" x14ac:dyDescent="0.45">
      <c r="A1727" s="1">
        <v>43730</v>
      </c>
      <c r="B1727">
        <v>102386.52499999999</v>
      </c>
      <c r="C1727">
        <v>103.2310155</v>
      </c>
      <c r="D1727" s="2">
        <v>7.9</v>
      </c>
      <c r="E1727" s="2">
        <v>15.5</v>
      </c>
      <c r="F1727" s="2">
        <v>13.6</v>
      </c>
      <c r="G1727" s="2">
        <v>4.5999999999999996</v>
      </c>
      <c r="H1727" s="2" t="str">
        <f>VLOOKUP(A1727,Holidays!$A$2:$B$2107,2,1)</f>
        <v>N</v>
      </c>
      <c r="I1727" s="2" t="str">
        <f>VLOOKUP(A1727,Holidays!$A$2:$C$2107,3,1)</f>
        <v>N</v>
      </c>
    </row>
    <row r="1728" spans="1:9" x14ac:dyDescent="0.45">
      <c r="A1728" s="1">
        <v>43731</v>
      </c>
      <c r="B1728">
        <v>121862.88499999999</v>
      </c>
      <c r="C1728">
        <v>109.7326738</v>
      </c>
      <c r="D1728" s="2">
        <v>8.9</v>
      </c>
      <c r="E1728" s="2">
        <v>15.2</v>
      </c>
      <c r="F1728" s="2">
        <v>13.9</v>
      </c>
      <c r="G1728" s="2">
        <v>2</v>
      </c>
      <c r="H1728" s="2" t="str">
        <f>VLOOKUP(A1728,Holidays!$A$2:$B$2107,2,1)</f>
        <v>N</v>
      </c>
      <c r="I1728" s="2" t="str">
        <f>VLOOKUP(A1728,Holidays!$A$2:$C$2107,3,1)</f>
        <v>N</v>
      </c>
    </row>
    <row r="1729" spans="1:9" x14ac:dyDescent="0.45">
      <c r="A1729" s="1">
        <v>43732</v>
      </c>
      <c r="B1729">
        <v>125787.33</v>
      </c>
      <c r="C1729">
        <v>148.22983249999999</v>
      </c>
      <c r="D1729" s="2">
        <v>8.3000000000000007</v>
      </c>
      <c r="E1729" s="2">
        <v>15.1</v>
      </c>
      <c r="F1729" s="2">
        <v>13.3</v>
      </c>
      <c r="G1729" s="2">
        <v>1.4</v>
      </c>
      <c r="H1729" s="2" t="str">
        <f>VLOOKUP(A1729,Holidays!$A$2:$B$2107,2,1)</f>
        <v>N</v>
      </c>
      <c r="I1729" s="2" t="str">
        <f>VLOOKUP(A1729,Holidays!$A$2:$C$2107,3,1)</f>
        <v>N</v>
      </c>
    </row>
    <row r="1730" spans="1:9" x14ac:dyDescent="0.45">
      <c r="A1730" s="1">
        <v>43733</v>
      </c>
      <c r="B1730">
        <v>124302.93</v>
      </c>
      <c r="C1730">
        <v>192.4850347</v>
      </c>
      <c r="D1730" s="2">
        <v>8.6999999999999993</v>
      </c>
      <c r="E1730" s="2">
        <v>16.600000000000001</v>
      </c>
      <c r="F1730" s="2">
        <v>13.1</v>
      </c>
      <c r="G1730" s="2">
        <v>0</v>
      </c>
      <c r="H1730" s="2" t="str">
        <f>VLOOKUP(A1730,Holidays!$A$2:$B$2107,2,1)</f>
        <v>N</v>
      </c>
      <c r="I1730" s="2" t="str">
        <f>VLOOKUP(A1730,Holidays!$A$2:$C$2107,3,1)</f>
        <v>N</v>
      </c>
    </row>
    <row r="1731" spans="1:9" x14ac:dyDescent="0.45">
      <c r="A1731" s="1">
        <v>43734</v>
      </c>
      <c r="B1731">
        <v>117320.175</v>
      </c>
      <c r="C1731">
        <v>139.4994437</v>
      </c>
      <c r="D1731" s="2">
        <v>8.3000000000000007</v>
      </c>
      <c r="E1731" s="2">
        <v>20.3</v>
      </c>
      <c r="F1731" s="2">
        <v>19.600000000000001</v>
      </c>
      <c r="G1731" s="2">
        <v>0</v>
      </c>
      <c r="H1731" s="2" t="str">
        <f>VLOOKUP(A1731,Holidays!$A$2:$B$2107,2,1)</f>
        <v>N</v>
      </c>
      <c r="I1731" s="2" t="str">
        <f>VLOOKUP(A1731,Holidays!$A$2:$C$2107,3,1)</f>
        <v>N</v>
      </c>
    </row>
    <row r="1732" spans="1:9" x14ac:dyDescent="0.45">
      <c r="A1732" s="1">
        <v>43735</v>
      </c>
      <c r="B1732">
        <v>106043.02</v>
      </c>
      <c r="C1732">
        <v>69.640959690000003</v>
      </c>
      <c r="D1732" s="2">
        <v>12.3</v>
      </c>
      <c r="E1732" s="2">
        <v>18.8</v>
      </c>
      <c r="F1732" s="2">
        <v>7.4</v>
      </c>
      <c r="G1732" s="2">
        <v>0</v>
      </c>
      <c r="H1732" s="2" t="str">
        <f>VLOOKUP(A1732,Holidays!$A$2:$B$2107,2,1)</f>
        <v>N</v>
      </c>
      <c r="I1732" s="2" t="str">
        <f>VLOOKUP(A1732,Holidays!$A$2:$C$2107,3,1)</f>
        <v>Y</v>
      </c>
    </row>
    <row r="1733" spans="1:9" x14ac:dyDescent="0.45">
      <c r="A1733" s="1">
        <v>43736</v>
      </c>
      <c r="B1733">
        <v>108762.31</v>
      </c>
      <c r="C1733">
        <v>132.2621226</v>
      </c>
      <c r="D1733" s="2">
        <v>7.2</v>
      </c>
      <c r="E1733" s="2">
        <v>14.9</v>
      </c>
      <c r="F1733" s="2">
        <v>17.7</v>
      </c>
      <c r="G1733" s="2">
        <v>0.2</v>
      </c>
      <c r="H1733" s="2" t="str">
        <f>VLOOKUP(A1733,Holidays!$A$2:$B$2107,2,1)</f>
        <v>N</v>
      </c>
      <c r="I1733" s="2" t="str">
        <f>VLOOKUP(A1733,Holidays!$A$2:$C$2107,3,1)</f>
        <v>N</v>
      </c>
    </row>
    <row r="1734" spans="1:9" x14ac:dyDescent="0.45">
      <c r="A1734" s="1">
        <v>43737</v>
      </c>
      <c r="B1734">
        <v>104804.09</v>
      </c>
      <c r="C1734">
        <v>90.401320499999997</v>
      </c>
      <c r="D1734" s="2">
        <v>9.1</v>
      </c>
      <c r="E1734" s="2">
        <v>15.8</v>
      </c>
      <c r="F1734" s="2">
        <v>19</v>
      </c>
      <c r="G1734" s="2">
        <v>0</v>
      </c>
      <c r="H1734" s="2" t="str">
        <f>VLOOKUP(A1734,Holidays!$A$2:$B$2107,2,1)</f>
        <v>N</v>
      </c>
      <c r="I1734" s="2" t="str">
        <f>VLOOKUP(A1734,Holidays!$A$2:$C$2107,3,1)</f>
        <v>N</v>
      </c>
    </row>
    <row r="1735" spans="1:9" x14ac:dyDescent="0.45">
      <c r="A1735" s="1">
        <v>43738</v>
      </c>
      <c r="B1735">
        <v>121770.82</v>
      </c>
      <c r="C1735">
        <v>107.8227368</v>
      </c>
      <c r="D1735" s="2">
        <v>10.1</v>
      </c>
      <c r="E1735" s="2">
        <v>14.1</v>
      </c>
      <c r="F1735" s="2">
        <v>14.4</v>
      </c>
      <c r="G1735" s="2">
        <v>0</v>
      </c>
      <c r="H1735" s="2" t="str">
        <f>VLOOKUP(A1735,Holidays!$A$2:$B$2107,2,1)</f>
        <v>N</v>
      </c>
      <c r="I1735" s="2" t="str">
        <f>VLOOKUP(A1735,Holidays!$A$2:$C$2107,3,1)</f>
        <v>N</v>
      </c>
    </row>
    <row r="1736" spans="1:9" x14ac:dyDescent="0.45">
      <c r="A1736" s="1">
        <v>43739</v>
      </c>
      <c r="B1736">
        <v>117265.27499999999</v>
      </c>
      <c r="C1736">
        <v>121.3908912</v>
      </c>
      <c r="D1736" s="2">
        <v>4.2</v>
      </c>
      <c r="E1736" s="2">
        <v>20.5</v>
      </c>
      <c r="F1736" s="2">
        <v>21.7</v>
      </c>
      <c r="G1736" s="2">
        <v>0</v>
      </c>
      <c r="H1736" s="2" t="str">
        <f>VLOOKUP(A1736,Holidays!$A$2:$B$2107,2,1)</f>
        <v>N</v>
      </c>
      <c r="I1736" s="2" t="str">
        <f>VLOOKUP(A1736,Holidays!$A$2:$C$2107,3,1)</f>
        <v>N</v>
      </c>
    </row>
    <row r="1737" spans="1:9" x14ac:dyDescent="0.45">
      <c r="A1737" s="1">
        <v>43740</v>
      </c>
      <c r="B1737">
        <v>110760.825</v>
      </c>
      <c r="C1737">
        <v>108.66167660000001</v>
      </c>
      <c r="D1737" s="2">
        <v>9.3000000000000007</v>
      </c>
      <c r="E1737" s="2">
        <v>26.5</v>
      </c>
      <c r="F1737" s="2">
        <v>18.5</v>
      </c>
      <c r="G1737" s="2">
        <v>0</v>
      </c>
      <c r="H1737" s="2" t="str">
        <f>VLOOKUP(A1737,Holidays!$A$2:$B$2107,2,1)</f>
        <v>N</v>
      </c>
      <c r="I1737" s="2" t="str">
        <f>VLOOKUP(A1737,Holidays!$A$2:$C$2107,3,1)</f>
        <v>N</v>
      </c>
    </row>
    <row r="1738" spans="1:9" x14ac:dyDescent="0.45">
      <c r="A1738" s="1">
        <v>43741</v>
      </c>
      <c r="B1738">
        <v>109312.85</v>
      </c>
      <c r="C1738">
        <v>108.8439126</v>
      </c>
      <c r="D1738" s="2">
        <v>15.1</v>
      </c>
      <c r="E1738" s="2">
        <v>29.7</v>
      </c>
      <c r="F1738" s="2">
        <v>22</v>
      </c>
      <c r="G1738" s="2">
        <v>0</v>
      </c>
      <c r="H1738" s="2" t="str">
        <f>VLOOKUP(A1738,Holidays!$A$2:$B$2107,2,1)</f>
        <v>N</v>
      </c>
      <c r="I1738" s="2" t="str">
        <f>VLOOKUP(A1738,Holidays!$A$2:$C$2107,3,1)</f>
        <v>N</v>
      </c>
    </row>
    <row r="1739" spans="1:9" x14ac:dyDescent="0.45">
      <c r="A1739" s="1">
        <v>43742</v>
      </c>
      <c r="B1739">
        <v>117512.56</v>
      </c>
      <c r="C1739">
        <v>136.3619947</v>
      </c>
      <c r="D1739" s="2">
        <v>12.5</v>
      </c>
      <c r="E1739" s="2">
        <v>15.2</v>
      </c>
      <c r="F1739" s="2">
        <v>11</v>
      </c>
      <c r="G1739" s="2">
        <v>0</v>
      </c>
      <c r="H1739" s="2" t="str">
        <f>VLOOKUP(A1739,Holidays!$A$2:$B$2107,2,1)</f>
        <v>N</v>
      </c>
      <c r="I1739" s="2" t="str">
        <f>VLOOKUP(A1739,Holidays!$A$2:$C$2107,3,1)</f>
        <v>N</v>
      </c>
    </row>
    <row r="1740" spans="1:9" x14ac:dyDescent="0.45">
      <c r="A1740" s="1">
        <v>43743</v>
      </c>
      <c r="B1740">
        <v>101386.01</v>
      </c>
      <c r="C1740">
        <v>88.049062890000002</v>
      </c>
      <c r="D1740" s="2">
        <v>7.6</v>
      </c>
      <c r="E1740" s="2">
        <v>24.3</v>
      </c>
      <c r="F1740" s="2">
        <v>17.399999999999999</v>
      </c>
      <c r="G1740" s="2">
        <v>1.8</v>
      </c>
      <c r="H1740" s="2" t="str">
        <f>VLOOKUP(A1740,Holidays!$A$2:$B$2107,2,1)</f>
        <v>N</v>
      </c>
      <c r="I1740" s="2" t="str">
        <f>VLOOKUP(A1740,Holidays!$A$2:$C$2107,3,1)</f>
        <v>N</v>
      </c>
    </row>
    <row r="1741" spans="1:9" x14ac:dyDescent="0.45">
      <c r="A1741" s="1">
        <v>43744</v>
      </c>
      <c r="B1741">
        <v>93011.345000000001</v>
      </c>
      <c r="C1741">
        <v>54.720114539999997</v>
      </c>
      <c r="D1741" s="2">
        <v>12.9</v>
      </c>
      <c r="E1741" s="2">
        <v>24.8</v>
      </c>
      <c r="F1741" s="2">
        <v>17.399999999999999</v>
      </c>
      <c r="G1741" s="2">
        <v>0</v>
      </c>
      <c r="H1741" s="2" t="str">
        <f>VLOOKUP(A1741,Holidays!$A$2:$B$2107,2,1)</f>
        <v>N</v>
      </c>
      <c r="I1741" s="2" t="str">
        <f>VLOOKUP(A1741,Holidays!$A$2:$C$2107,3,1)</f>
        <v>N</v>
      </c>
    </row>
    <row r="1742" spans="1:9" x14ac:dyDescent="0.45">
      <c r="A1742" s="1">
        <v>43745</v>
      </c>
      <c r="B1742">
        <v>113296.31</v>
      </c>
      <c r="C1742">
        <v>112.07559550000001</v>
      </c>
      <c r="D1742" s="2">
        <v>11.6</v>
      </c>
      <c r="E1742" s="2">
        <v>16.399999999999999</v>
      </c>
      <c r="F1742" s="2">
        <v>15.1</v>
      </c>
      <c r="G1742" s="2">
        <v>0</v>
      </c>
      <c r="H1742" s="2" t="str">
        <f>VLOOKUP(A1742,Holidays!$A$2:$B$2107,2,1)</f>
        <v>N</v>
      </c>
      <c r="I1742" s="2" t="str">
        <f>VLOOKUP(A1742,Holidays!$A$2:$C$2107,3,1)</f>
        <v>N</v>
      </c>
    </row>
    <row r="1743" spans="1:9" x14ac:dyDescent="0.45">
      <c r="A1743" s="1">
        <v>43746</v>
      </c>
      <c r="B1743">
        <v>117504.77499999999</v>
      </c>
      <c r="C1743">
        <v>130.67182529999999</v>
      </c>
      <c r="D1743" s="2">
        <v>9.5</v>
      </c>
      <c r="E1743" s="2">
        <v>14.2</v>
      </c>
      <c r="F1743" s="2">
        <v>17</v>
      </c>
      <c r="G1743" s="2">
        <v>2.6</v>
      </c>
      <c r="H1743" s="2" t="str">
        <f>VLOOKUP(A1743,Holidays!$A$2:$B$2107,2,1)</f>
        <v>Y</v>
      </c>
      <c r="I1743" s="2" t="str">
        <f>VLOOKUP(A1743,Holidays!$A$2:$C$2107,3,1)</f>
        <v>N</v>
      </c>
    </row>
    <row r="1744" spans="1:9" x14ac:dyDescent="0.45">
      <c r="A1744" s="1">
        <v>43747</v>
      </c>
      <c r="B1744">
        <v>122771.82</v>
      </c>
      <c r="C1744">
        <v>131.5850422</v>
      </c>
      <c r="D1744" s="2">
        <v>8.5</v>
      </c>
      <c r="E1744" s="2">
        <v>15</v>
      </c>
      <c r="F1744" s="2">
        <v>19.3</v>
      </c>
      <c r="G1744" s="2">
        <v>5.8</v>
      </c>
      <c r="H1744" s="2" t="str">
        <f>VLOOKUP(A1744,Holidays!$A$2:$B$2107,2,1)</f>
        <v>Y</v>
      </c>
      <c r="I1744" s="2" t="str">
        <f>VLOOKUP(A1744,Holidays!$A$2:$C$2107,3,1)</f>
        <v>N</v>
      </c>
    </row>
    <row r="1745" spans="1:9" x14ac:dyDescent="0.45">
      <c r="A1745" s="1">
        <v>43748</v>
      </c>
      <c r="B1745">
        <v>123692.08</v>
      </c>
      <c r="C1745">
        <v>167.9811358</v>
      </c>
      <c r="D1745" s="2">
        <v>10.199999999999999</v>
      </c>
      <c r="E1745" s="2">
        <v>14.7</v>
      </c>
      <c r="F1745" s="2">
        <v>12.6</v>
      </c>
      <c r="G1745" s="2">
        <v>0.2</v>
      </c>
      <c r="H1745" s="2" t="str">
        <f>VLOOKUP(A1745,Holidays!$A$2:$B$2107,2,1)</f>
        <v>Y</v>
      </c>
      <c r="I1745" s="2" t="str">
        <f>VLOOKUP(A1745,Holidays!$A$2:$C$2107,3,1)</f>
        <v>N</v>
      </c>
    </row>
    <row r="1746" spans="1:9" x14ac:dyDescent="0.45">
      <c r="A1746" s="1">
        <v>43749</v>
      </c>
      <c r="B1746">
        <v>115250.505</v>
      </c>
      <c r="C1746">
        <v>114.6969754</v>
      </c>
      <c r="D1746" s="2">
        <v>9.5</v>
      </c>
      <c r="E1746" s="2">
        <v>18.899999999999999</v>
      </c>
      <c r="F1746" s="2">
        <v>17.5</v>
      </c>
      <c r="G1746" s="2">
        <v>0</v>
      </c>
      <c r="H1746" s="2" t="str">
        <f>VLOOKUP(A1746,Holidays!$A$2:$B$2107,2,1)</f>
        <v>Y</v>
      </c>
      <c r="I1746" s="2" t="str">
        <f>VLOOKUP(A1746,Holidays!$A$2:$C$2107,3,1)</f>
        <v>N</v>
      </c>
    </row>
    <row r="1747" spans="1:9" x14ac:dyDescent="0.45">
      <c r="A1747" s="1">
        <v>43750</v>
      </c>
      <c r="B1747">
        <v>101053.36500000001</v>
      </c>
      <c r="C1747">
        <v>93.120223490000001</v>
      </c>
      <c r="D1747" s="2">
        <v>8.1999999999999993</v>
      </c>
      <c r="E1747" s="2">
        <v>20.399999999999999</v>
      </c>
      <c r="F1747" s="2">
        <v>20.100000000000001</v>
      </c>
      <c r="G1747" s="2">
        <v>0</v>
      </c>
      <c r="H1747" s="2" t="str">
        <f>VLOOKUP(A1747,Holidays!$A$2:$B$2107,2,1)</f>
        <v>Y</v>
      </c>
      <c r="I1747" s="2" t="str">
        <f>VLOOKUP(A1747,Holidays!$A$2:$C$2107,3,1)</f>
        <v>N</v>
      </c>
    </row>
    <row r="1748" spans="1:9" x14ac:dyDescent="0.45">
      <c r="A1748" s="1">
        <v>43751</v>
      </c>
      <c r="B1748">
        <v>94744.7</v>
      </c>
      <c r="C1748">
        <v>90.164235849999997</v>
      </c>
      <c r="D1748" s="2">
        <v>9.4</v>
      </c>
      <c r="E1748" s="2">
        <v>23.1</v>
      </c>
      <c r="F1748" s="2">
        <v>19.600000000000001</v>
      </c>
      <c r="G1748" s="2">
        <v>0</v>
      </c>
      <c r="H1748" s="2" t="str">
        <f>VLOOKUP(A1748,Holidays!$A$2:$B$2107,2,1)</f>
        <v>Y</v>
      </c>
      <c r="I1748" s="2" t="str">
        <f>VLOOKUP(A1748,Holidays!$A$2:$C$2107,3,1)</f>
        <v>N</v>
      </c>
    </row>
    <row r="1749" spans="1:9" x14ac:dyDescent="0.45">
      <c r="A1749" s="1">
        <v>43752</v>
      </c>
      <c r="B1749">
        <v>110290.12</v>
      </c>
      <c r="C1749">
        <v>119.0137926</v>
      </c>
      <c r="D1749" s="2">
        <v>13.6</v>
      </c>
      <c r="E1749" s="2">
        <v>26.7</v>
      </c>
      <c r="F1749" s="2">
        <v>20.2</v>
      </c>
      <c r="G1749" s="2">
        <v>0.2</v>
      </c>
      <c r="H1749" s="2" t="str">
        <f>VLOOKUP(A1749,Holidays!$A$2:$B$2107,2,1)</f>
        <v>Y</v>
      </c>
      <c r="I1749" s="2" t="str">
        <f>VLOOKUP(A1749,Holidays!$A$2:$C$2107,3,1)</f>
        <v>N</v>
      </c>
    </row>
    <row r="1750" spans="1:9" x14ac:dyDescent="0.45">
      <c r="A1750" s="1">
        <v>43753</v>
      </c>
      <c r="B1750">
        <v>112052.12</v>
      </c>
      <c r="C1750">
        <v>123.2613285</v>
      </c>
      <c r="D1750" s="2">
        <v>13</v>
      </c>
      <c r="E1750" s="2">
        <v>18</v>
      </c>
      <c r="F1750" s="2">
        <v>20.6</v>
      </c>
      <c r="G1750" s="2">
        <v>0</v>
      </c>
      <c r="H1750" s="2" t="str">
        <f>VLOOKUP(A1750,Holidays!$A$2:$B$2107,2,1)</f>
        <v>Y</v>
      </c>
      <c r="I1750" s="2" t="str">
        <f>VLOOKUP(A1750,Holidays!$A$2:$C$2107,3,1)</f>
        <v>N</v>
      </c>
    </row>
    <row r="1751" spans="1:9" x14ac:dyDescent="0.45">
      <c r="A1751" s="1">
        <v>43754</v>
      </c>
      <c r="B1751">
        <v>117533.72</v>
      </c>
      <c r="C1751">
        <v>116.34066919999999</v>
      </c>
      <c r="D1751" s="2">
        <v>13.3</v>
      </c>
      <c r="E1751" s="2">
        <v>20.399999999999999</v>
      </c>
      <c r="F1751" s="2">
        <v>11.4</v>
      </c>
      <c r="G1751" s="2">
        <v>0</v>
      </c>
      <c r="H1751" s="2" t="str">
        <f>VLOOKUP(A1751,Holidays!$A$2:$B$2107,2,1)</f>
        <v>Y</v>
      </c>
      <c r="I1751" s="2" t="str">
        <f>VLOOKUP(A1751,Holidays!$A$2:$C$2107,3,1)</f>
        <v>N</v>
      </c>
    </row>
    <row r="1752" spans="1:9" x14ac:dyDescent="0.45">
      <c r="A1752" s="1">
        <v>43755</v>
      </c>
      <c r="B1752">
        <v>116690.04</v>
      </c>
      <c r="C1752">
        <v>92.498043699999997</v>
      </c>
      <c r="D1752" s="2">
        <v>9.5</v>
      </c>
      <c r="E1752" s="2">
        <v>15.2</v>
      </c>
      <c r="F1752" s="2">
        <v>9.6</v>
      </c>
      <c r="G1752" s="2">
        <v>4.4000000000000004</v>
      </c>
      <c r="H1752" s="2" t="str">
        <f>VLOOKUP(A1752,Holidays!$A$2:$B$2107,2,1)</f>
        <v>Y</v>
      </c>
      <c r="I1752" s="2" t="str">
        <f>VLOOKUP(A1752,Holidays!$A$2:$C$2107,3,1)</f>
        <v>N</v>
      </c>
    </row>
    <row r="1753" spans="1:9" x14ac:dyDescent="0.45">
      <c r="A1753" s="1">
        <v>43756</v>
      </c>
      <c r="B1753">
        <v>109857.485</v>
      </c>
      <c r="C1753">
        <v>76.318328559999998</v>
      </c>
      <c r="D1753" s="2">
        <v>7.3</v>
      </c>
      <c r="E1753" s="2">
        <v>22.1</v>
      </c>
      <c r="F1753" s="2">
        <v>23.2</v>
      </c>
      <c r="G1753" s="2">
        <v>0.8</v>
      </c>
      <c r="H1753" s="2" t="str">
        <f>VLOOKUP(A1753,Holidays!$A$2:$B$2107,2,1)</f>
        <v>Y</v>
      </c>
      <c r="I1753" s="2" t="str">
        <f>VLOOKUP(A1753,Holidays!$A$2:$C$2107,3,1)</f>
        <v>N</v>
      </c>
    </row>
    <row r="1754" spans="1:9" x14ac:dyDescent="0.45">
      <c r="A1754" s="1">
        <v>43757</v>
      </c>
      <c r="B1754">
        <v>102032.495</v>
      </c>
      <c r="C1754">
        <v>67.014422809999999</v>
      </c>
      <c r="D1754" s="2">
        <v>9.4</v>
      </c>
      <c r="E1754" s="2">
        <v>15.3</v>
      </c>
      <c r="F1754" s="2">
        <v>15.8</v>
      </c>
      <c r="G1754" s="2">
        <v>0.8</v>
      </c>
      <c r="H1754" s="2" t="str">
        <f>VLOOKUP(A1754,Holidays!$A$2:$B$2107,2,1)</f>
        <v>Y</v>
      </c>
      <c r="I1754" s="2" t="str">
        <f>VLOOKUP(A1754,Holidays!$A$2:$C$2107,3,1)</f>
        <v>N</v>
      </c>
    </row>
    <row r="1755" spans="1:9" x14ac:dyDescent="0.45">
      <c r="A1755" s="1">
        <v>43758</v>
      </c>
      <c r="B1755">
        <v>102684.515</v>
      </c>
      <c r="C1755">
        <v>87.533212419999998</v>
      </c>
      <c r="D1755" s="2">
        <v>10</v>
      </c>
      <c r="E1755" s="2">
        <v>16.399999999999999</v>
      </c>
      <c r="F1755" s="2">
        <v>14.7</v>
      </c>
      <c r="G1755" s="2">
        <v>0.8</v>
      </c>
      <c r="H1755" s="2" t="str">
        <f>VLOOKUP(A1755,Holidays!$A$2:$B$2107,2,1)</f>
        <v>Y</v>
      </c>
      <c r="I1755" s="2" t="str">
        <f>VLOOKUP(A1755,Holidays!$A$2:$C$2107,3,1)</f>
        <v>N</v>
      </c>
    </row>
    <row r="1756" spans="1:9" x14ac:dyDescent="0.45">
      <c r="A1756" s="1">
        <v>43759</v>
      </c>
      <c r="B1756">
        <v>114502.07</v>
      </c>
      <c r="C1756">
        <v>111.6668677</v>
      </c>
      <c r="D1756" s="2">
        <v>11.5</v>
      </c>
      <c r="E1756" s="2">
        <v>17</v>
      </c>
      <c r="F1756" s="2">
        <v>19.600000000000001</v>
      </c>
      <c r="G1756" s="2">
        <v>0</v>
      </c>
      <c r="H1756" s="2" t="str">
        <f>VLOOKUP(A1756,Holidays!$A$2:$B$2107,2,1)</f>
        <v>Y</v>
      </c>
      <c r="I1756" s="2" t="str">
        <f>VLOOKUP(A1756,Holidays!$A$2:$C$2107,3,1)</f>
        <v>N</v>
      </c>
    </row>
    <row r="1757" spans="1:9" x14ac:dyDescent="0.45">
      <c r="A1757" s="1">
        <v>43760</v>
      </c>
      <c r="B1757">
        <v>114108.545</v>
      </c>
      <c r="C1757">
        <v>111.449844</v>
      </c>
      <c r="D1757" s="2">
        <v>11.9</v>
      </c>
      <c r="E1757" s="2">
        <v>19.600000000000001</v>
      </c>
      <c r="F1757" s="2">
        <v>23.7</v>
      </c>
      <c r="G1757" s="2">
        <v>0</v>
      </c>
      <c r="H1757" s="2" t="str">
        <f>VLOOKUP(A1757,Holidays!$A$2:$B$2107,2,1)</f>
        <v>Y</v>
      </c>
      <c r="I1757" s="2" t="str">
        <f>VLOOKUP(A1757,Holidays!$A$2:$C$2107,3,1)</f>
        <v>N</v>
      </c>
    </row>
    <row r="1758" spans="1:9" x14ac:dyDescent="0.45">
      <c r="A1758" s="1">
        <v>43761</v>
      </c>
      <c r="B1758">
        <v>114281.61500000001</v>
      </c>
      <c r="C1758">
        <v>99.736133030000005</v>
      </c>
      <c r="D1758" s="2">
        <v>8.1999999999999993</v>
      </c>
      <c r="E1758" s="2">
        <v>27.9</v>
      </c>
      <c r="F1758" s="2">
        <v>26</v>
      </c>
      <c r="G1758" s="2">
        <v>0</v>
      </c>
      <c r="H1758" s="2" t="str">
        <f>VLOOKUP(A1758,Holidays!$A$2:$B$2107,2,1)</f>
        <v>Y</v>
      </c>
      <c r="I1758" s="2" t="str">
        <f>VLOOKUP(A1758,Holidays!$A$2:$C$2107,3,1)</f>
        <v>N</v>
      </c>
    </row>
    <row r="1759" spans="1:9" x14ac:dyDescent="0.45">
      <c r="A1759" s="1">
        <v>43762</v>
      </c>
      <c r="B1759">
        <v>115442.655</v>
      </c>
      <c r="C1759">
        <v>82.370096540000006</v>
      </c>
      <c r="D1759" s="2">
        <v>13</v>
      </c>
      <c r="E1759" s="2">
        <v>33.799999999999997</v>
      </c>
      <c r="F1759" s="2">
        <v>26.1</v>
      </c>
      <c r="G1759" s="2">
        <v>0.2</v>
      </c>
      <c r="H1759" s="2" t="str">
        <f>VLOOKUP(A1759,Holidays!$A$2:$B$2107,2,1)</f>
        <v>Y</v>
      </c>
      <c r="I1759" s="2" t="str">
        <f>VLOOKUP(A1759,Holidays!$A$2:$C$2107,3,1)</f>
        <v>N</v>
      </c>
    </row>
    <row r="1760" spans="1:9" x14ac:dyDescent="0.45">
      <c r="A1760" s="1">
        <v>43763</v>
      </c>
      <c r="B1760">
        <v>109130.77</v>
      </c>
      <c r="C1760">
        <v>70.884689609999995</v>
      </c>
      <c r="D1760" s="2">
        <v>16.8</v>
      </c>
      <c r="E1760" s="2">
        <v>21.6</v>
      </c>
      <c r="F1760" s="2">
        <v>10</v>
      </c>
      <c r="G1760" s="2">
        <v>0</v>
      </c>
      <c r="H1760" s="2" t="str">
        <f>VLOOKUP(A1760,Holidays!$A$2:$B$2107,2,1)</f>
        <v>Y</v>
      </c>
      <c r="I1760" s="2" t="str">
        <f>VLOOKUP(A1760,Holidays!$A$2:$C$2107,3,1)</f>
        <v>N</v>
      </c>
    </row>
    <row r="1761" spans="1:9" x14ac:dyDescent="0.45">
      <c r="A1761" s="1">
        <v>43764</v>
      </c>
      <c r="B1761">
        <v>96698.285000000003</v>
      </c>
      <c r="C1761">
        <v>44.849283749999998</v>
      </c>
      <c r="D1761" s="2">
        <v>9.6</v>
      </c>
      <c r="E1761" s="2">
        <v>15.5</v>
      </c>
      <c r="F1761" s="2">
        <v>17.2</v>
      </c>
      <c r="G1761" s="2">
        <v>3.8</v>
      </c>
      <c r="H1761" s="2" t="str">
        <f>VLOOKUP(A1761,Holidays!$A$2:$B$2107,2,1)</f>
        <v>Y</v>
      </c>
      <c r="I1761" s="2" t="str">
        <f>VLOOKUP(A1761,Holidays!$A$2:$C$2107,3,1)</f>
        <v>N</v>
      </c>
    </row>
    <row r="1762" spans="1:9" x14ac:dyDescent="0.45">
      <c r="A1762" s="1">
        <v>43765</v>
      </c>
      <c r="B1762">
        <v>102830.55499999999</v>
      </c>
      <c r="C1762">
        <v>87.808242980000003</v>
      </c>
      <c r="D1762" s="2">
        <v>10.3</v>
      </c>
      <c r="E1762" s="2">
        <v>17</v>
      </c>
      <c r="F1762" s="2">
        <v>10.1</v>
      </c>
      <c r="G1762" s="2">
        <v>1.2</v>
      </c>
      <c r="H1762" s="2" t="str">
        <f>VLOOKUP(A1762,Holidays!$A$2:$B$2107,2,1)</f>
        <v>Y</v>
      </c>
      <c r="I1762" s="2" t="str">
        <f>VLOOKUP(A1762,Holidays!$A$2:$C$2107,3,1)</f>
        <v>N</v>
      </c>
    </row>
    <row r="1763" spans="1:9" x14ac:dyDescent="0.45">
      <c r="A1763" s="1">
        <v>43766</v>
      </c>
      <c r="B1763">
        <v>112634.63499999999</v>
      </c>
      <c r="C1763">
        <v>104.09160749999999</v>
      </c>
      <c r="D1763" s="2">
        <v>8.6999999999999993</v>
      </c>
      <c r="E1763" s="2">
        <v>21.6</v>
      </c>
      <c r="F1763" s="2">
        <v>26.3</v>
      </c>
      <c r="G1763" s="2">
        <v>1.4</v>
      </c>
      <c r="H1763" s="2" t="str">
        <f>VLOOKUP(A1763,Holidays!$A$2:$B$2107,2,1)</f>
        <v>Y</v>
      </c>
      <c r="I1763" s="2" t="str">
        <f>VLOOKUP(A1763,Holidays!$A$2:$C$2107,3,1)</f>
        <v>N</v>
      </c>
    </row>
    <row r="1764" spans="1:9" x14ac:dyDescent="0.45">
      <c r="A1764" s="1">
        <v>43767</v>
      </c>
      <c r="B1764">
        <v>111887.405</v>
      </c>
      <c r="C1764">
        <v>130.19868170000001</v>
      </c>
      <c r="D1764" s="2">
        <v>9.6999999999999993</v>
      </c>
      <c r="E1764" s="2">
        <v>30.5</v>
      </c>
      <c r="F1764" s="2">
        <v>27</v>
      </c>
      <c r="G1764" s="2">
        <v>0</v>
      </c>
      <c r="H1764" s="2" t="str">
        <f>VLOOKUP(A1764,Holidays!$A$2:$B$2107,2,1)</f>
        <v>Y</v>
      </c>
      <c r="I1764" s="2" t="str">
        <f>VLOOKUP(A1764,Holidays!$A$2:$C$2107,3,1)</f>
        <v>N</v>
      </c>
    </row>
    <row r="1765" spans="1:9" x14ac:dyDescent="0.45">
      <c r="A1765" s="1">
        <v>43768</v>
      </c>
      <c r="B1765">
        <v>117375.73</v>
      </c>
      <c r="C1765">
        <v>130.31831199999999</v>
      </c>
      <c r="D1765" s="2">
        <v>13.8</v>
      </c>
      <c r="E1765" s="2">
        <v>25.1</v>
      </c>
      <c r="F1765" s="2">
        <v>27.2</v>
      </c>
      <c r="G1765" s="2">
        <v>0</v>
      </c>
      <c r="H1765" s="2" t="str">
        <f>VLOOKUP(A1765,Holidays!$A$2:$B$2107,2,1)</f>
        <v>Y</v>
      </c>
      <c r="I1765" s="2" t="str">
        <f>VLOOKUP(A1765,Holidays!$A$2:$C$2107,3,1)</f>
        <v>N</v>
      </c>
    </row>
    <row r="1766" spans="1:9" x14ac:dyDescent="0.45">
      <c r="A1766" s="1">
        <v>43769</v>
      </c>
      <c r="B1766">
        <v>121752.875</v>
      </c>
      <c r="C1766">
        <v>89.659635179999995</v>
      </c>
      <c r="D1766" s="2">
        <v>14.2</v>
      </c>
      <c r="E1766" s="2">
        <v>33.700000000000003</v>
      </c>
      <c r="F1766" s="2">
        <v>25.5</v>
      </c>
      <c r="G1766" s="2">
        <v>0</v>
      </c>
      <c r="H1766" s="2" t="str">
        <f>VLOOKUP(A1766,Holidays!$A$2:$B$2107,2,1)</f>
        <v>Y</v>
      </c>
      <c r="I1766" s="2" t="str">
        <f>VLOOKUP(A1766,Holidays!$A$2:$C$2107,3,1)</f>
        <v>N</v>
      </c>
    </row>
    <row r="1767" spans="1:9" x14ac:dyDescent="0.45">
      <c r="A1767" s="1">
        <v>43770</v>
      </c>
      <c r="B1767">
        <v>130510.905</v>
      </c>
      <c r="C1767">
        <v>90.318841500000005</v>
      </c>
      <c r="D1767" s="2">
        <v>20</v>
      </c>
      <c r="E1767" s="2">
        <v>34.299999999999997</v>
      </c>
      <c r="F1767" s="2">
        <v>22.8</v>
      </c>
      <c r="G1767" s="2">
        <v>0</v>
      </c>
      <c r="H1767" s="2" t="str">
        <f>VLOOKUP(A1767,Holidays!$A$2:$B$2107,2,1)</f>
        <v>Y</v>
      </c>
      <c r="I1767" s="2" t="str">
        <f>VLOOKUP(A1767,Holidays!$A$2:$C$2107,3,1)</f>
        <v>N</v>
      </c>
    </row>
    <row r="1768" spans="1:9" x14ac:dyDescent="0.45">
      <c r="A1768" s="1">
        <v>43771</v>
      </c>
      <c r="B1768">
        <v>105806.825</v>
      </c>
      <c r="C1768">
        <v>90.798912520000002</v>
      </c>
      <c r="D1768" s="2">
        <v>15.8</v>
      </c>
      <c r="E1768" s="2">
        <v>18.899999999999999</v>
      </c>
      <c r="F1768" s="2">
        <v>2.2000000000000002</v>
      </c>
      <c r="G1768" s="2">
        <v>4.2</v>
      </c>
      <c r="H1768" s="2" t="str">
        <f>VLOOKUP(A1768,Holidays!$A$2:$B$2107,2,1)</f>
        <v>Y</v>
      </c>
      <c r="I1768" s="2" t="str">
        <f>VLOOKUP(A1768,Holidays!$A$2:$C$2107,3,1)</f>
        <v>N</v>
      </c>
    </row>
    <row r="1769" spans="1:9" x14ac:dyDescent="0.45">
      <c r="A1769" s="1">
        <v>43772</v>
      </c>
      <c r="B1769">
        <v>96867.014999999999</v>
      </c>
      <c r="C1769">
        <v>72.398840800000002</v>
      </c>
      <c r="D1769" s="2">
        <v>12.8</v>
      </c>
      <c r="E1769" s="2">
        <v>20.7</v>
      </c>
      <c r="F1769" s="2">
        <v>7.8</v>
      </c>
      <c r="G1769" s="2">
        <v>12.4</v>
      </c>
      <c r="H1769" s="2" t="str">
        <f>VLOOKUP(A1769,Holidays!$A$2:$B$2107,2,1)</f>
        <v>Y</v>
      </c>
      <c r="I1769" s="2" t="str">
        <f>VLOOKUP(A1769,Holidays!$A$2:$C$2107,3,1)</f>
        <v>N</v>
      </c>
    </row>
    <row r="1770" spans="1:9" x14ac:dyDescent="0.45">
      <c r="A1770" s="1">
        <v>43773</v>
      </c>
      <c r="B1770">
        <v>107279.84</v>
      </c>
      <c r="C1770">
        <v>79.09640417</v>
      </c>
      <c r="D1770" s="2">
        <v>9.5</v>
      </c>
      <c r="E1770" s="2">
        <v>16.2</v>
      </c>
      <c r="F1770" s="2">
        <v>11.2</v>
      </c>
      <c r="G1770" s="2">
        <v>1.2</v>
      </c>
      <c r="H1770" s="2" t="str">
        <f>VLOOKUP(A1770,Holidays!$A$2:$B$2107,2,1)</f>
        <v>Y</v>
      </c>
      <c r="I1770" s="2" t="str">
        <f>VLOOKUP(A1770,Holidays!$A$2:$C$2107,3,1)</f>
        <v>N</v>
      </c>
    </row>
    <row r="1771" spans="1:9" x14ac:dyDescent="0.45">
      <c r="A1771" s="1">
        <v>43774</v>
      </c>
      <c r="B1771">
        <v>96817</v>
      </c>
      <c r="C1771">
        <v>66.476814739999995</v>
      </c>
      <c r="D1771" s="2">
        <v>7.7</v>
      </c>
      <c r="E1771" s="2">
        <v>19.600000000000001</v>
      </c>
      <c r="F1771" s="2">
        <v>27.4</v>
      </c>
      <c r="G1771" s="2">
        <v>10.199999999999999</v>
      </c>
      <c r="H1771" s="2" t="str">
        <f>VLOOKUP(A1771,Holidays!$A$2:$B$2107,2,1)</f>
        <v>Y</v>
      </c>
      <c r="I1771" s="2" t="str">
        <f>VLOOKUP(A1771,Holidays!$A$2:$C$2107,3,1)</f>
        <v>Y</v>
      </c>
    </row>
    <row r="1772" spans="1:9" x14ac:dyDescent="0.45">
      <c r="A1772" s="1">
        <v>43775</v>
      </c>
      <c r="B1772">
        <v>104381.38</v>
      </c>
      <c r="C1772">
        <v>58.451951880000003</v>
      </c>
      <c r="D1772" s="2">
        <v>10.5</v>
      </c>
      <c r="E1772" s="2">
        <v>24.1</v>
      </c>
      <c r="F1772" s="2">
        <v>19.899999999999999</v>
      </c>
      <c r="G1772" s="2">
        <v>0</v>
      </c>
      <c r="H1772" s="2" t="str">
        <f>VLOOKUP(A1772,Holidays!$A$2:$B$2107,2,1)</f>
        <v>Y</v>
      </c>
      <c r="I1772" s="2" t="str">
        <f>VLOOKUP(A1772,Holidays!$A$2:$C$2107,3,1)</f>
        <v>N</v>
      </c>
    </row>
    <row r="1773" spans="1:9" x14ac:dyDescent="0.45">
      <c r="A1773" s="1">
        <v>43776</v>
      </c>
      <c r="B1773">
        <v>115132.64</v>
      </c>
      <c r="C1773">
        <v>63.897686270000001</v>
      </c>
      <c r="D1773" s="2">
        <v>11.5</v>
      </c>
      <c r="E1773" s="2">
        <v>17.7</v>
      </c>
      <c r="F1773" s="2">
        <v>8.3000000000000007</v>
      </c>
      <c r="G1773" s="2">
        <v>0</v>
      </c>
      <c r="H1773" s="2" t="str">
        <f>VLOOKUP(A1773,Holidays!$A$2:$B$2107,2,1)</f>
        <v>Y</v>
      </c>
      <c r="I1773" s="2" t="str">
        <f>VLOOKUP(A1773,Holidays!$A$2:$C$2107,3,1)</f>
        <v>N</v>
      </c>
    </row>
    <row r="1774" spans="1:9" x14ac:dyDescent="0.45">
      <c r="A1774" s="1">
        <v>43777</v>
      </c>
      <c r="B1774">
        <v>113954.78</v>
      </c>
      <c r="C1774">
        <v>81.077541510000003</v>
      </c>
      <c r="D1774" s="2">
        <v>10.3</v>
      </c>
      <c r="E1774" s="2">
        <v>15</v>
      </c>
      <c r="F1774" s="2">
        <v>16.100000000000001</v>
      </c>
      <c r="G1774" s="2">
        <v>6.8</v>
      </c>
      <c r="H1774" s="2" t="str">
        <f>VLOOKUP(A1774,Holidays!$A$2:$B$2107,2,1)</f>
        <v>Y</v>
      </c>
      <c r="I1774" s="2" t="str">
        <f>VLOOKUP(A1774,Holidays!$A$2:$C$2107,3,1)</f>
        <v>N</v>
      </c>
    </row>
    <row r="1775" spans="1:9" x14ac:dyDescent="0.45">
      <c r="A1775" s="1">
        <v>43778</v>
      </c>
      <c r="B1775">
        <v>108924.79</v>
      </c>
      <c r="C1775">
        <v>70.474884239999994</v>
      </c>
      <c r="D1775" s="2">
        <v>7.6</v>
      </c>
      <c r="E1775" s="2">
        <v>14.2</v>
      </c>
      <c r="F1775" s="2">
        <v>9.8000000000000007</v>
      </c>
      <c r="G1775" s="2">
        <v>6.4</v>
      </c>
      <c r="H1775" s="2" t="str">
        <f>VLOOKUP(A1775,Holidays!$A$2:$B$2107,2,1)</f>
        <v>Y</v>
      </c>
      <c r="I1775" s="2" t="str">
        <f>VLOOKUP(A1775,Holidays!$A$2:$C$2107,3,1)</f>
        <v>N</v>
      </c>
    </row>
    <row r="1776" spans="1:9" x14ac:dyDescent="0.45">
      <c r="A1776" s="1">
        <v>43779</v>
      </c>
      <c r="B1776">
        <v>101550.045</v>
      </c>
      <c r="C1776">
        <v>86.639009709999996</v>
      </c>
      <c r="D1776" s="2">
        <v>10.8</v>
      </c>
      <c r="E1776" s="2">
        <v>18.100000000000001</v>
      </c>
      <c r="F1776" s="2">
        <v>13.5</v>
      </c>
      <c r="G1776" s="2">
        <v>0.2</v>
      </c>
      <c r="H1776" s="2" t="str">
        <f>VLOOKUP(A1776,Holidays!$A$2:$B$2107,2,1)</f>
        <v>Y</v>
      </c>
      <c r="I1776" s="2" t="str">
        <f>VLOOKUP(A1776,Holidays!$A$2:$C$2107,3,1)</f>
        <v>N</v>
      </c>
    </row>
    <row r="1777" spans="1:9" x14ac:dyDescent="0.45">
      <c r="A1777" s="1">
        <v>43780</v>
      </c>
      <c r="B1777">
        <v>106758.95</v>
      </c>
      <c r="C1777">
        <v>66.491326110000003</v>
      </c>
      <c r="D1777" s="2">
        <v>10</v>
      </c>
      <c r="E1777" s="2">
        <v>29.6</v>
      </c>
      <c r="F1777" s="2">
        <v>27.4</v>
      </c>
      <c r="G1777" s="2">
        <v>0</v>
      </c>
      <c r="H1777" s="2" t="str">
        <f>VLOOKUP(A1777,Holidays!$A$2:$B$2107,2,1)</f>
        <v>Y</v>
      </c>
      <c r="I1777" s="2" t="str">
        <f>VLOOKUP(A1777,Holidays!$A$2:$C$2107,3,1)</f>
        <v>N</v>
      </c>
    </row>
    <row r="1778" spans="1:9" x14ac:dyDescent="0.45">
      <c r="A1778" s="1">
        <v>43781</v>
      </c>
      <c r="B1778">
        <v>104303.46</v>
      </c>
      <c r="C1778">
        <v>57.069845890000003</v>
      </c>
      <c r="D1778" s="2">
        <v>11.5</v>
      </c>
      <c r="E1778" s="2">
        <v>17.399999999999999</v>
      </c>
      <c r="F1778" s="2">
        <v>12.7</v>
      </c>
      <c r="G1778" s="2">
        <v>0.6</v>
      </c>
      <c r="H1778" s="2" t="str">
        <f>VLOOKUP(A1778,Holidays!$A$2:$B$2107,2,1)</f>
        <v>Y</v>
      </c>
      <c r="I1778" s="2" t="str">
        <f>VLOOKUP(A1778,Holidays!$A$2:$C$2107,3,1)</f>
        <v>N</v>
      </c>
    </row>
    <row r="1779" spans="1:9" x14ac:dyDescent="0.45">
      <c r="A1779" s="1">
        <v>43782</v>
      </c>
      <c r="B1779">
        <v>112573.54</v>
      </c>
      <c r="C1779">
        <v>64.519389450000006</v>
      </c>
      <c r="D1779" s="2">
        <v>9.1</v>
      </c>
      <c r="E1779" s="2">
        <v>17.3</v>
      </c>
      <c r="F1779" s="2">
        <v>12</v>
      </c>
      <c r="G1779" s="2">
        <v>1.6</v>
      </c>
      <c r="H1779" s="2" t="str">
        <f>VLOOKUP(A1779,Holidays!$A$2:$B$2107,2,1)</f>
        <v>Y</v>
      </c>
      <c r="I1779" s="2" t="str">
        <f>VLOOKUP(A1779,Holidays!$A$2:$C$2107,3,1)</f>
        <v>N</v>
      </c>
    </row>
    <row r="1780" spans="1:9" x14ac:dyDescent="0.45">
      <c r="A1780" s="1">
        <v>43783</v>
      </c>
      <c r="B1780">
        <v>109828.93</v>
      </c>
      <c r="C1780">
        <v>74.43626304</v>
      </c>
      <c r="D1780" s="2">
        <v>12.1</v>
      </c>
      <c r="E1780" s="2">
        <v>22.4</v>
      </c>
      <c r="F1780" s="2">
        <v>19.7</v>
      </c>
      <c r="G1780" s="2">
        <v>0.8</v>
      </c>
      <c r="H1780" s="2" t="str">
        <f>VLOOKUP(A1780,Holidays!$A$2:$B$2107,2,1)</f>
        <v>Y</v>
      </c>
      <c r="I1780" s="2" t="str">
        <f>VLOOKUP(A1780,Holidays!$A$2:$C$2107,3,1)</f>
        <v>N</v>
      </c>
    </row>
    <row r="1781" spans="1:9" x14ac:dyDescent="0.45">
      <c r="A1781" s="1">
        <v>43784</v>
      </c>
      <c r="B1781">
        <v>110954.755</v>
      </c>
      <c r="C1781">
        <v>72.065598769999994</v>
      </c>
      <c r="D1781" s="2">
        <v>13</v>
      </c>
      <c r="E1781" s="2">
        <v>18.5</v>
      </c>
      <c r="F1781" s="2">
        <v>12.4</v>
      </c>
      <c r="G1781" s="2">
        <v>0</v>
      </c>
      <c r="H1781" s="2" t="str">
        <f>VLOOKUP(A1781,Holidays!$A$2:$B$2107,2,1)</f>
        <v>Y</v>
      </c>
      <c r="I1781" s="2" t="str">
        <f>VLOOKUP(A1781,Holidays!$A$2:$C$2107,3,1)</f>
        <v>N</v>
      </c>
    </row>
    <row r="1782" spans="1:9" x14ac:dyDescent="0.45">
      <c r="A1782" s="1">
        <v>43785</v>
      </c>
      <c r="B1782">
        <v>97646.12</v>
      </c>
      <c r="C1782">
        <v>67.187219450000001</v>
      </c>
      <c r="D1782" s="2">
        <v>9.1999999999999993</v>
      </c>
      <c r="E1782" s="2">
        <v>17.2</v>
      </c>
      <c r="F1782" s="2">
        <v>23.9</v>
      </c>
      <c r="G1782" s="2">
        <v>0</v>
      </c>
      <c r="H1782" s="2" t="str">
        <f>VLOOKUP(A1782,Holidays!$A$2:$B$2107,2,1)</f>
        <v>Y</v>
      </c>
      <c r="I1782" s="2" t="str">
        <f>VLOOKUP(A1782,Holidays!$A$2:$C$2107,3,1)</f>
        <v>N</v>
      </c>
    </row>
    <row r="1783" spans="1:9" x14ac:dyDescent="0.45">
      <c r="A1783" s="1">
        <v>43786</v>
      </c>
      <c r="B1783">
        <v>96742.49</v>
      </c>
      <c r="C1783">
        <v>66.41186458</v>
      </c>
      <c r="D1783" s="2">
        <v>10.8</v>
      </c>
      <c r="E1783" s="2">
        <v>16.2</v>
      </c>
      <c r="F1783" s="2">
        <v>24.1</v>
      </c>
      <c r="G1783" s="2">
        <v>0</v>
      </c>
      <c r="H1783" s="2" t="str">
        <f>VLOOKUP(A1783,Holidays!$A$2:$B$2107,2,1)</f>
        <v>Y</v>
      </c>
      <c r="I1783" s="2" t="str">
        <f>VLOOKUP(A1783,Holidays!$A$2:$C$2107,3,1)</f>
        <v>N</v>
      </c>
    </row>
    <row r="1784" spans="1:9" x14ac:dyDescent="0.45">
      <c r="A1784" s="1">
        <v>43787</v>
      </c>
      <c r="B1784">
        <v>109148.25</v>
      </c>
      <c r="C1784">
        <v>72.281071499999996</v>
      </c>
      <c r="D1784" s="2">
        <v>8.5</v>
      </c>
      <c r="E1784" s="2">
        <v>26.9</v>
      </c>
      <c r="F1784" s="2">
        <v>29.9</v>
      </c>
      <c r="G1784" s="2">
        <v>0</v>
      </c>
      <c r="H1784" s="2" t="str">
        <f>VLOOKUP(A1784,Holidays!$A$2:$B$2107,2,1)</f>
        <v>Y</v>
      </c>
      <c r="I1784" s="2" t="str">
        <f>VLOOKUP(A1784,Holidays!$A$2:$C$2107,3,1)</f>
        <v>N</v>
      </c>
    </row>
    <row r="1785" spans="1:9" x14ac:dyDescent="0.45">
      <c r="A1785" s="1">
        <v>43788</v>
      </c>
      <c r="B1785">
        <v>112033.87</v>
      </c>
      <c r="C1785">
        <v>81.955895620000007</v>
      </c>
      <c r="D1785" s="2">
        <v>11.4</v>
      </c>
      <c r="E1785" s="2">
        <v>18.600000000000001</v>
      </c>
      <c r="F1785" s="2">
        <v>27.9</v>
      </c>
      <c r="G1785" s="2">
        <v>0</v>
      </c>
      <c r="H1785" s="2" t="str">
        <f>VLOOKUP(A1785,Holidays!$A$2:$B$2107,2,1)</f>
        <v>Y</v>
      </c>
      <c r="I1785" s="2" t="str">
        <f>VLOOKUP(A1785,Holidays!$A$2:$C$2107,3,1)</f>
        <v>N</v>
      </c>
    </row>
    <row r="1786" spans="1:9" x14ac:dyDescent="0.45">
      <c r="A1786" s="1">
        <v>43789</v>
      </c>
      <c r="B1786">
        <v>119736.125</v>
      </c>
      <c r="C1786">
        <v>83.763251699999998</v>
      </c>
      <c r="D1786" s="2">
        <v>9.4</v>
      </c>
      <c r="E1786" s="2">
        <v>34.700000000000003</v>
      </c>
      <c r="F1786" s="2">
        <v>30.1</v>
      </c>
      <c r="G1786" s="2">
        <v>0</v>
      </c>
      <c r="H1786" s="2" t="str">
        <f>VLOOKUP(A1786,Holidays!$A$2:$B$2107,2,1)</f>
        <v>Y</v>
      </c>
      <c r="I1786" s="2" t="str">
        <f>VLOOKUP(A1786,Holidays!$A$2:$C$2107,3,1)</f>
        <v>N</v>
      </c>
    </row>
    <row r="1787" spans="1:9" x14ac:dyDescent="0.45">
      <c r="A1787" s="1">
        <v>43790</v>
      </c>
      <c r="B1787">
        <v>131312</v>
      </c>
      <c r="C1787">
        <v>72.815311210000004</v>
      </c>
      <c r="D1787" s="2">
        <v>14</v>
      </c>
      <c r="E1787" s="2">
        <v>40.9</v>
      </c>
      <c r="F1787" s="2">
        <v>18.8</v>
      </c>
      <c r="G1787" s="2">
        <v>0</v>
      </c>
      <c r="H1787" s="2" t="str">
        <f>VLOOKUP(A1787,Holidays!$A$2:$B$2107,2,1)</f>
        <v>Y</v>
      </c>
      <c r="I1787" s="2" t="str">
        <f>VLOOKUP(A1787,Holidays!$A$2:$C$2107,3,1)</f>
        <v>N</v>
      </c>
    </row>
    <row r="1788" spans="1:9" x14ac:dyDescent="0.45">
      <c r="A1788" s="1">
        <v>43791</v>
      </c>
      <c r="B1788">
        <v>109049.36500000001</v>
      </c>
      <c r="C1788">
        <v>65.412978010000003</v>
      </c>
      <c r="D1788" s="2">
        <v>13.6</v>
      </c>
      <c r="E1788" s="2">
        <v>20</v>
      </c>
      <c r="F1788" s="2">
        <v>28.3</v>
      </c>
      <c r="G1788" s="2">
        <v>0</v>
      </c>
      <c r="H1788" s="2" t="str">
        <f>VLOOKUP(A1788,Holidays!$A$2:$B$2107,2,1)</f>
        <v>Y</v>
      </c>
      <c r="I1788" s="2" t="str">
        <f>VLOOKUP(A1788,Holidays!$A$2:$C$2107,3,1)</f>
        <v>N</v>
      </c>
    </row>
    <row r="1789" spans="1:9" x14ac:dyDescent="0.45">
      <c r="A1789" s="1">
        <v>43792</v>
      </c>
      <c r="B1789">
        <v>97245.764999999999</v>
      </c>
      <c r="C1789">
        <v>49.794292779999999</v>
      </c>
      <c r="D1789" s="2">
        <v>10.1</v>
      </c>
      <c r="E1789" s="2">
        <v>23.8</v>
      </c>
      <c r="F1789" s="2">
        <v>24.6</v>
      </c>
      <c r="G1789" s="2">
        <v>0</v>
      </c>
      <c r="H1789" s="2" t="str">
        <f>VLOOKUP(A1789,Holidays!$A$2:$B$2107,2,1)</f>
        <v>Y</v>
      </c>
      <c r="I1789" s="2" t="str">
        <f>VLOOKUP(A1789,Holidays!$A$2:$C$2107,3,1)</f>
        <v>N</v>
      </c>
    </row>
    <row r="1790" spans="1:9" x14ac:dyDescent="0.45">
      <c r="A1790" s="1">
        <v>43793</v>
      </c>
      <c r="B1790">
        <v>96778.25</v>
      </c>
      <c r="C1790">
        <v>60.755443960000001</v>
      </c>
      <c r="D1790" s="2">
        <v>11.9</v>
      </c>
      <c r="E1790" s="2">
        <v>23.7</v>
      </c>
      <c r="F1790" s="2">
        <v>30.6</v>
      </c>
      <c r="G1790" s="2">
        <v>0</v>
      </c>
      <c r="H1790" s="2" t="str">
        <f>VLOOKUP(A1790,Holidays!$A$2:$B$2107,2,1)</f>
        <v>Y</v>
      </c>
      <c r="I1790" s="2" t="str">
        <f>VLOOKUP(A1790,Holidays!$A$2:$C$2107,3,1)</f>
        <v>N</v>
      </c>
    </row>
    <row r="1791" spans="1:9" x14ac:dyDescent="0.45">
      <c r="A1791" s="1">
        <v>43794</v>
      </c>
      <c r="B1791">
        <v>113899.3</v>
      </c>
      <c r="C1791">
        <v>71.001116179999997</v>
      </c>
      <c r="D1791" s="2">
        <v>11.4</v>
      </c>
      <c r="E1791" s="2">
        <v>27.4</v>
      </c>
      <c r="F1791" s="2">
        <v>18</v>
      </c>
      <c r="G1791" s="2">
        <v>0</v>
      </c>
      <c r="H1791" s="2" t="str">
        <f>VLOOKUP(A1791,Holidays!$A$2:$B$2107,2,1)</f>
        <v>Y</v>
      </c>
      <c r="I1791" s="2" t="str">
        <f>VLOOKUP(A1791,Holidays!$A$2:$C$2107,3,1)</f>
        <v>N</v>
      </c>
    </row>
    <row r="1792" spans="1:9" x14ac:dyDescent="0.45">
      <c r="A1792" s="1">
        <v>43795</v>
      </c>
      <c r="B1792">
        <v>107629.16</v>
      </c>
      <c r="C1792">
        <v>47.350592130000003</v>
      </c>
      <c r="D1792" s="2">
        <v>11.4</v>
      </c>
      <c r="E1792" s="2">
        <v>16.399999999999999</v>
      </c>
      <c r="F1792" s="2">
        <v>22.2</v>
      </c>
      <c r="G1792" s="2">
        <v>2</v>
      </c>
      <c r="H1792" s="2" t="str">
        <f>VLOOKUP(A1792,Holidays!$A$2:$B$2107,2,1)</f>
        <v>Y</v>
      </c>
      <c r="I1792" s="2" t="str">
        <f>VLOOKUP(A1792,Holidays!$A$2:$C$2107,3,1)</f>
        <v>N</v>
      </c>
    </row>
    <row r="1793" spans="1:9" x14ac:dyDescent="0.45">
      <c r="A1793" s="1">
        <v>43796</v>
      </c>
      <c r="B1793">
        <v>108417.69500000001</v>
      </c>
      <c r="C1793">
        <v>59.044674999999998</v>
      </c>
      <c r="D1793" s="2">
        <v>8.6</v>
      </c>
      <c r="E1793" s="2">
        <v>24.8</v>
      </c>
      <c r="F1793" s="2">
        <v>31</v>
      </c>
      <c r="G1793" s="2">
        <v>0</v>
      </c>
      <c r="H1793" s="2" t="str">
        <f>VLOOKUP(A1793,Holidays!$A$2:$B$2107,2,1)</f>
        <v>Y</v>
      </c>
      <c r="I1793" s="2" t="str">
        <f>VLOOKUP(A1793,Holidays!$A$2:$C$2107,3,1)</f>
        <v>N</v>
      </c>
    </row>
    <row r="1794" spans="1:9" x14ac:dyDescent="0.45">
      <c r="A1794" s="1">
        <v>43797</v>
      </c>
      <c r="B1794">
        <v>112735.875</v>
      </c>
      <c r="C1794">
        <v>70.202551959999994</v>
      </c>
      <c r="D1794" s="2">
        <v>11.4</v>
      </c>
      <c r="E1794" s="2">
        <v>21.1</v>
      </c>
      <c r="F1794" s="2">
        <v>30.7</v>
      </c>
      <c r="G1794" s="2">
        <v>0</v>
      </c>
      <c r="H1794" s="2" t="str">
        <f>VLOOKUP(A1794,Holidays!$A$2:$B$2107,2,1)</f>
        <v>Y</v>
      </c>
      <c r="I1794" s="2" t="str">
        <f>VLOOKUP(A1794,Holidays!$A$2:$C$2107,3,1)</f>
        <v>N</v>
      </c>
    </row>
    <row r="1795" spans="1:9" x14ac:dyDescent="0.45">
      <c r="A1795" s="1">
        <v>43798</v>
      </c>
      <c r="B1795">
        <v>114799.91</v>
      </c>
      <c r="C1795">
        <v>79.605729069999995</v>
      </c>
      <c r="D1795" s="2">
        <v>11.9</v>
      </c>
      <c r="E1795" s="2">
        <v>19.7</v>
      </c>
      <c r="F1795" s="2">
        <v>21.9</v>
      </c>
      <c r="G1795" s="2">
        <v>0</v>
      </c>
      <c r="H1795" s="2" t="str">
        <f>VLOOKUP(A1795,Holidays!$A$2:$B$2107,2,1)</f>
        <v>Y</v>
      </c>
      <c r="I1795" s="2" t="str">
        <f>VLOOKUP(A1795,Holidays!$A$2:$C$2107,3,1)</f>
        <v>N</v>
      </c>
    </row>
    <row r="1796" spans="1:9" x14ac:dyDescent="0.45">
      <c r="A1796" s="1">
        <v>43799</v>
      </c>
      <c r="B1796">
        <v>98959.56</v>
      </c>
      <c r="C1796">
        <v>51.05874163</v>
      </c>
      <c r="D1796" s="2">
        <v>10.3</v>
      </c>
      <c r="E1796" s="2">
        <v>18.399999999999999</v>
      </c>
      <c r="F1796" s="2">
        <v>26.7</v>
      </c>
      <c r="G1796" s="2">
        <v>8</v>
      </c>
      <c r="H1796" s="2" t="str">
        <f>VLOOKUP(A1796,Holidays!$A$2:$B$2107,2,1)</f>
        <v>Y</v>
      </c>
      <c r="I1796" s="2" t="str">
        <f>VLOOKUP(A1796,Holidays!$A$2:$C$2107,3,1)</f>
        <v>N</v>
      </c>
    </row>
    <row r="1797" spans="1:9" x14ac:dyDescent="0.45">
      <c r="A1797" s="1">
        <v>43800</v>
      </c>
      <c r="B1797">
        <v>100233.98</v>
      </c>
      <c r="C1797">
        <v>33.154867019999998</v>
      </c>
      <c r="D1797" s="2">
        <v>12.2</v>
      </c>
      <c r="E1797" s="2">
        <v>16.8</v>
      </c>
      <c r="F1797" s="2">
        <v>9.8000000000000007</v>
      </c>
      <c r="G1797" s="2">
        <v>0</v>
      </c>
      <c r="H1797" s="2" t="str">
        <f>VLOOKUP(A1797,Holidays!$A$2:$B$2107,2,1)</f>
        <v>Y</v>
      </c>
      <c r="I1797" s="2" t="str">
        <f>VLOOKUP(A1797,Holidays!$A$2:$C$2107,3,1)</f>
        <v>N</v>
      </c>
    </row>
    <row r="1798" spans="1:9" x14ac:dyDescent="0.45">
      <c r="A1798" s="1">
        <v>43801</v>
      </c>
      <c r="B1798">
        <v>110609.4</v>
      </c>
      <c r="C1798">
        <v>29.070382550000001</v>
      </c>
      <c r="D1798" s="2">
        <v>9.8000000000000007</v>
      </c>
      <c r="E1798" s="2">
        <v>15.5</v>
      </c>
      <c r="F1798" s="2">
        <v>18.2</v>
      </c>
      <c r="G1798" s="2">
        <v>3.4</v>
      </c>
      <c r="H1798" s="2" t="str">
        <f>VLOOKUP(A1798,Holidays!$A$2:$B$2107,2,1)</f>
        <v>Y</v>
      </c>
      <c r="I1798" s="2" t="str">
        <f>VLOOKUP(A1798,Holidays!$A$2:$C$2107,3,1)</f>
        <v>N</v>
      </c>
    </row>
    <row r="1799" spans="1:9" x14ac:dyDescent="0.45">
      <c r="A1799" s="1">
        <v>43802</v>
      </c>
      <c r="B1799">
        <v>109094.04</v>
      </c>
      <c r="C1799">
        <v>19.170950680000001</v>
      </c>
      <c r="D1799" s="2">
        <v>11</v>
      </c>
      <c r="E1799" s="2">
        <v>22.2</v>
      </c>
      <c r="F1799" s="2">
        <v>19.2</v>
      </c>
      <c r="G1799" s="2">
        <v>0.4</v>
      </c>
      <c r="H1799" s="2" t="str">
        <f>VLOOKUP(A1799,Holidays!$A$2:$B$2107,2,1)</f>
        <v>Y</v>
      </c>
      <c r="I1799" s="2" t="str">
        <f>VLOOKUP(A1799,Holidays!$A$2:$C$2107,3,1)</f>
        <v>N</v>
      </c>
    </row>
    <row r="1800" spans="1:9" x14ac:dyDescent="0.45">
      <c r="A1800" s="1">
        <v>43803</v>
      </c>
      <c r="B1800">
        <v>107400.705</v>
      </c>
      <c r="C1800">
        <v>39.415048149999997</v>
      </c>
      <c r="D1800" s="2">
        <v>12.1</v>
      </c>
      <c r="E1800" s="2">
        <v>23</v>
      </c>
      <c r="F1800" s="2">
        <v>20.3</v>
      </c>
      <c r="G1800" s="2">
        <v>0</v>
      </c>
      <c r="H1800" s="2" t="str">
        <f>VLOOKUP(A1800,Holidays!$A$2:$B$2107,2,1)</f>
        <v>Y</v>
      </c>
      <c r="I1800" s="2" t="str">
        <f>VLOOKUP(A1800,Holidays!$A$2:$C$2107,3,1)</f>
        <v>N</v>
      </c>
    </row>
    <row r="1801" spans="1:9" x14ac:dyDescent="0.45">
      <c r="A1801" s="1">
        <v>43804</v>
      </c>
      <c r="B1801">
        <v>107891.69</v>
      </c>
      <c r="C1801">
        <v>45.830326149999998</v>
      </c>
      <c r="D1801" s="2">
        <v>12.3</v>
      </c>
      <c r="E1801" s="2">
        <v>23.9</v>
      </c>
      <c r="F1801" s="2">
        <v>20.399999999999999</v>
      </c>
      <c r="G1801" s="2">
        <v>0</v>
      </c>
      <c r="H1801" s="2" t="str">
        <f>VLOOKUP(A1801,Holidays!$A$2:$B$2107,2,1)</f>
        <v>Y</v>
      </c>
      <c r="I1801" s="2" t="str">
        <f>VLOOKUP(A1801,Holidays!$A$2:$C$2107,3,1)</f>
        <v>N</v>
      </c>
    </row>
    <row r="1802" spans="1:9" x14ac:dyDescent="0.45">
      <c r="A1802" s="1">
        <v>43805</v>
      </c>
      <c r="B1802">
        <v>105028.985</v>
      </c>
      <c r="C1802">
        <v>41.38035927</v>
      </c>
      <c r="D1802" s="2">
        <v>13.3</v>
      </c>
      <c r="E1802" s="2">
        <v>20.8</v>
      </c>
      <c r="F1802" s="2">
        <v>18.2</v>
      </c>
      <c r="G1802" s="2">
        <v>0</v>
      </c>
      <c r="H1802" s="2" t="str">
        <f>VLOOKUP(A1802,Holidays!$A$2:$B$2107,2,1)</f>
        <v>Y</v>
      </c>
      <c r="I1802" s="2" t="str">
        <f>VLOOKUP(A1802,Holidays!$A$2:$C$2107,3,1)</f>
        <v>N</v>
      </c>
    </row>
    <row r="1803" spans="1:9" x14ac:dyDescent="0.45">
      <c r="A1803" s="1">
        <v>43806</v>
      </c>
      <c r="B1803">
        <v>95436.3</v>
      </c>
      <c r="C1803">
        <v>47.12307019</v>
      </c>
      <c r="D1803" s="2">
        <v>11.2</v>
      </c>
      <c r="E1803" s="2">
        <v>21</v>
      </c>
      <c r="F1803" s="2">
        <v>30.3</v>
      </c>
      <c r="G1803" s="2">
        <v>0</v>
      </c>
      <c r="H1803" s="2" t="str">
        <f>VLOOKUP(A1803,Holidays!$A$2:$B$2107,2,1)</f>
        <v>Y</v>
      </c>
      <c r="I1803" s="2" t="str">
        <f>VLOOKUP(A1803,Holidays!$A$2:$C$2107,3,1)</f>
        <v>N</v>
      </c>
    </row>
    <row r="1804" spans="1:9" x14ac:dyDescent="0.45">
      <c r="A1804" s="1">
        <v>43807</v>
      </c>
      <c r="B1804">
        <v>97577.414999999994</v>
      </c>
      <c r="C1804">
        <v>43.690411390000001</v>
      </c>
      <c r="D1804" s="2">
        <v>13.8</v>
      </c>
      <c r="E1804" s="2">
        <v>27.6</v>
      </c>
      <c r="F1804" s="2">
        <v>30.8</v>
      </c>
      <c r="G1804" s="2">
        <v>0</v>
      </c>
      <c r="H1804" s="2" t="str">
        <f>VLOOKUP(A1804,Holidays!$A$2:$B$2107,2,1)</f>
        <v>Y</v>
      </c>
      <c r="I1804" s="2" t="str">
        <f>VLOOKUP(A1804,Holidays!$A$2:$C$2107,3,1)</f>
        <v>N</v>
      </c>
    </row>
    <row r="1805" spans="1:9" x14ac:dyDescent="0.45">
      <c r="A1805" s="1">
        <v>43808</v>
      </c>
      <c r="B1805">
        <v>127910.83500000001</v>
      </c>
      <c r="C1805">
        <v>62.718792569999998</v>
      </c>
      <c r="D1805" s="2">
        <v>16.3</v>
      </c>
      <c r="E1805" s="2">
        <v>38</v>
      </c>
      <c r="F1805" s="2">
        <v>28.6</v>
      </c>
      <c r="G1805" s="2">
        <v>0</v>
      </c>
      <c r="H1805" s="2" t="str">
        <f>VLOOKUP(A1805,Holidays!$A$2:$B$2107,2,1)</f>
        <v>Y</v>
      </c>
      <c r="I1805" s="2" t="str">
        <f>VLOOKUP(A1805,Holidays!$A$2:$C$2107,3,1)</f>
        <v>N</v>
      </c>
    </row>
    <row r="1806" spans="1:9" x14ac:dyDescent="0.45">
      <c r="A1806" s="1">
        <v>43809</v>
      </c>
      <c r="B1806">
        <v>109548.62</v>
      </c>
      <c r="C1806">
        <v>48.336164680000003</v>
      </c>
      <c r="D1806" s="2">
        <v>14.3</v>
      </c>
      <c r="E1806" s="2">
        <v>17.2</v>
      </c>
      <c r="F1806" s="2">
        <v>22.2</v>
      </c>
      <c r="G1806" s="2">
        <v>0</v>
      </c>
      <c r="H1806" s="2" t="str">
        <f>VLOOKUP(A1806,Holidays!$A$2:$B$2107,2,1)</f>
        <v>Y</v>
      </c>
      <c r="I1806" s="2" t="str">
        <f>VLOOKUP(A1806,Holidays!$A$2:$C$2107,3,1)</f>
        <v>N</v>
      </c>
    </row>
    <row r="1807" spans="1:9" x14ac:dyDescent="0.45">
      <c r="A1807" s="1">
        <v>43810</v>
      </c>
      <c r="B1807">
        <v>109060.375</v>
      </c>
      <c r="C1807">
        <v>57.730485369999997</v>
      </c>
      <c r="D1807" s="2">
        <v>13.4</v>
      </c>
      <c r="E1807" s="2">
        <v>18.100000000000001</v>
      </c>
      <c r="F1807" s="2">
        <v>21.8</v>
      </c>
      <c r="G1807" s="2">
        <v>0</v>
      </c>
      <c r="H1807" s="2" t="str">
        <f>VLOOKUP(A1807,Holidays!$A$2:$B$2107,2,1)</f>
        <v>Y</v>
      </c>
      <c r="I1807" s="2" t="str">
        <f>VLOOKUP(A1807,Holidays!$A$2:$C$2107,3,1)</f>
        <v>N</v>
      </c>
    </row>
    <row r="1808" spans="1:9" x14ac:dyDescent="0.45">
      <c r="A1808" s="1">
        <v>43811</v>
      </c>
      <c r="B1808">
        <v>108599.065</v>
      </c>
      <c r="C1808">
        <v>41.647543489999997</v>
      </c>
      <c r="D1808" s="2">
        <v>13.4</v>
      </c>
      <c r="E1808" s="2">
        <v>18.399999999999999</v>
      </c>
      <c r="F1808" s="2">
        <v>22.7</v>
      </c>
      <c r="G1808" s="2">
        <v>0</v>
      </c>
      <c r="H1808" s="2" t="str">
        <f>VLOOKUP(A1808,Holidays!$A$2:$B$2107,2,1)</f>
        <v>Y</v>
      </c>
      <c r="I1808" s="2" t="str">
        <f>VLOOKUP(A1808,Holidays!$A$2:$C$2107,3,1)</f>
        <v>N</v>
      </c>
    </row>
    <row r="1809" spans="1:9" x14ac:dyDescent="0.45">
      <c r="A1809" s="1">
        <v>43812</v>
      </c>
      <c r="B1809">
        <v>107070.61</v>
      </c>
      <c r="C1809">
        <v>58.517373640000002</v>
      </c>
      <c r="D1809" s="2">
        <v>11.4</v>
      </c>
      <c r="E1809" s="2">
        <v>20.9</v>
      </c>
      <c r="F1809" s="2">
        <v>24.8</v>
      </c>
      <c r="G1809" s="2">
        <v>0</v>
      </c>
      <c r="H1809" s="2" t="str">
        <f>VLOOKUP(A1809,Holidays!$A$2:$B$2107,2,1)</f>
        <v>Y</v>
      </c>
      <c r="I1809" s="2" t="str">
        <f>VLOOKUP(A1809,Holidays!$A$2:$C$2107,3,1)</f>
        <v>N</v>
      </c>
    </row>
    <row r="1810" spans="1:9" x14ac:dyDescent="0.45">
      <c r="A1810" s="1">
        <v>43813</v>
      </c>
      <c r="B1810">
        <v>101239.235</v>
      </c>
      <c r="C1810">
        <v>65.765248349999993</v>
      </c>
      <c r="D1810" s="2">
        <v>14.1</v>
      </c>
      <c r="E1810" s="2">
        <v>20.100000000000001</v>
      </c>
      <c r="F1810" s="2">
        <v>10.4</v>
      </c>
      <c r="G1810" s="2">
        <v>0</v>
      </c>
      <c r="H1810" s="2" t="str">
        <f>VLOOKUP(A1810,Holidays!$A$2:$B$2107,2,1)</f>
        <v>Y</v>
      </c>
      <c r="I1810" s="2" t="str">
        <f>VLOOKUP(A1810,Holidays!$A$2:$C$2107,3,1)</f>
        <v>N</v>
      </c>
    </row>
    <row r="1811" spans="1:9" x14ac:dyDescent="0.45">
      <c r="A1811" s="1">
        <v>43814</v>
      </c>
      <c r="B1811">
        <v>98723.45</v>
      </c>
      <c r="C1811">
        <v>50.936743069999999</v>
      </c>
      <c r="D1811" s="2">
        <v>15.1</v>
      </c>
      <c r="E1811" s="2">
        <v>21.7</v>
      </c>
      <c r="F1811" s="2">
        <v>16.399999999999999</v>
      </c>
      <c r="G1811" s="2">
        <v>0</v>
      </c>
      <c r="H1811" s="2" t="str">
        <f>VLOOKUP(A1811,Holidays!$A$2:$B$2107,2,1)</f>
        <v>Y</v>
      </c>
      <c r="I1811" s="2" t="str">
        <f>VLOOKUP(A1811,Holidays!$A$2:$C$2107,3,1)</f>
        <v>N</v>
      </c>
    </row>
    <row r="1812" spans="1:9" x14ac:dyDescent="0.45">
      <c r="A1812" s="1">
        <v>43815</v>
      </c>
      <c r="B1812">
        <v>114400.065</v>
      </c>
      <c r="C1812">
        <v>73.601749130000002</v>
      </c>
      <c r="D1812" s="2">
        <v>13</v>
      </c>
      <c r="E1812" s="2">
        <v>22.6</v>
      </c>
      <c r="F1812" s="2">
        <v>21.7</v>
      </c>
      <c r="G1812" s="2">
        <v>0</v>
      </c>
      <c r="H1812" s="2" t="str">
        <f>VLOOKUP(A1812,Holidays!$A$2:$B$2107,2,1)</f>
        <v>Y</v>
      </c>
      <c r="I1812" s="2" t="str">
        <f>VLOOKUP(A1812,Holidays!$A$2:$C$2107,3,1)</f>
        <v>N</v>
      </c>
    </row>
    <row r="1813" spans="1:9" x14ac:dyDescent="0.45">
      <c r="A1813" s="1">
        <v>43816</v>
      </c>
      <c r="B1813">
        <v>123999.07</v>
      </c>
      <c r="C1813">
        <v>83.084082179999996</v>
      </c>
      <c r="D1813" s="2">
        <v>12.6</v>
      </c>
      <c r="E1813" s="2">
        <v>26.3</v>
      </c>
      <c r="F1813" s="2">
        <v>29.5</v>
      </c>
      <c r="G1813" s="2">
        <v>0</v>
      </c>
      <c r="H1813" s="2" t="str">
        <f>VLOOKUP(A1813,Holidays!$A$2:$B$2107,2,1)</f>
        <v>Y</v>
      </c>
      <c r="I1813" s="2" t="str">
        <f>VLOOKUP(A1813,Holidays!$A$2:$C$2107,3,1)</f>
        <v>N</v>
      </c>
    </row>
    <row r="1814" spans="1:9" x14ac:dyDescent="0.45">
      <c r="A1814" s="1">
        <v>43817</v>
      </c>
      <c r="B1814">
        <v>146990.89000000001</v>
      </c>
      <c r="C1814">
        <v>95.802971920000005</v>
      </c>
      <c r="D1814" s="2">
        <v>15.9</v>
      </c>
      <c r="E1814" s="2">
        <v>40.1</v>
      </c>
      <c r="F1814" s="2">
        <v>29.3</v>
      </c>
      <c r="G1814" s="2">
        <v>0</v>
      </c>
      <c r="H1814" s="2" t="str">
        <f>VLOOKUP(A1814,Holidays!$A$2:$B$2107,2,1)</f>
        <v>Y</v>
      </c>
      <c r="I1814" s="2" t="str">
        <f>VLOOKUP(A1814,Holidays!$A$2:$C$2107,3,1)</f>
        <v>N</v>
      </c>
    </row>
    <row r="1815" spans="1:9" x14ac:dyDescent="0.45">
      <c r="A1815" s="1">
        <v>43818</v>
      </c>
      <c r="B1815">
        <v>125050.61</v>
      </c>
      <c r="C1815">
        <v>71.953511919999997</v>
      </c>
      <c r="D1815" s="2">
        <v>17.2</v>
      </c>
      <c r="E1815" s="2">
        <v>23.3</v>
      </c>
      <c r="F1815" s="2">
        <v>29.3</v>
      </c>
      <c r="G1815" s="2">
        <v>0</v>
      </c>
      <c r="H1815" s="2" t="str">
        <f>VLOOKUP(A1815,Holidays!$A$2:$B$2107,2,1)</f>
        <v>Y</v>
      </c>
      <c r="I1815" s="2" t="str">
        <f>VLOOKUP(A1815,Holidays!$A$2:$C$2107,3,1)</f>
        <v>N</v>
      </c>
    </row>
    <row r="1816" spans="1:9" x14ac:dyDescent="0.45">
      <c r="A1816" s="1">
        <v>43819</v>
      </c>
      <c r="B1816">
        <v>150553.4</v>
      </c>
      <c r="C1816">
        <v>243.81015959999999</v>
      </c>
      <c r="D1816" s="2">
        <v>13.7</v>
      </c>
      <c r="E1816" s="2">
        <v>43.5</v>
      </c>
      <c r="F1816" s="2">
        <v>31.4</v>
      </c>
      <c r="G1816" s="2">
        <v>0</v>
      </c>
      <c r="H1816" s="2" t="str">
        <f>VLOOKUP(A1816,Holidays!$A$2:$B$2107,2,1)</f>
        <v>N</v>
      </c>
      <c r="I1816" s="2" t="str">
        <f>VLOOKUP(A1816,Holidays!$A$2:$C$2107,3,1)</f>
        <v>N</v>
      </c>
    </row>
    <row r="1817" spans="1:9" x14ac:dyDescent="0.45">
      <c r="A1817" s="1">
        <v>43820</v>
      </c>
      <c r="B1817">
        <v>100632.47500000001</v>
      </c>
      <c r="C1817">
        <v>44.94113626</v>
      </c>
      <c r="D1817" s="2">
        <v>16.899999999999999</v>
      </c>
      <c r="E1817" s="2">
        <v>20.2</v>
      </c>
      <c r="F1817" s="2">
        <v>28.3</v>
      </c>
      <c r="G1817" s="2">
        <v>0</v>
      </c>
      <c r="H1817" s="2" t="str">
        <f>VLOOKUP(A1817,Holidays!$A$2:$B$2107,2,1)</f>
        <v>N</v>
      </c>
      <c r="I1817" s="2" t="str">
        <f>VLOOKUP(A1817,Holidays!$A$2:$C$2107,3,1)</f>
        <v>N</v>
      </c>
    </row>
    <row r="1818" spans="1:9" x14ac:dyDescent="0.45">
      <c r="A1818" s="1">
        <v>43821</v>
      </c>
      <c r="B1818">
        <v>90145.615000000005</v>
      </c>
      <c r="C1818">
        <v>34.678705909999998</v>
      </c>
      <c r="D1818" s="2">
        <v>13.1</v>
      </c>
      <c r="E1818" s="2">
        <v>19.600000000000001</v>
      </c>
      <c r="F1818" s="2">
        <v>31.5</v>
      </c>
      <c r="G1818" s="2">
        <v>0</v>
      </c>
      <c r="H1818" s="2" t="str">
        <f>VLOOKUP(A1818,Holidays!$A$2:$B$2107,2,1)</f>
        <v>N</v>
      </c>
      <c r="I1818" s="2" t="str">
        <f>VLOOKUP(A1818,Holidays!$A$2:$C$2107,3,1)</f>
        <v>N</v>
      </c>
    </row>
    <row r="1819" spans="1:9" x14ac:dyDescent="0.45">
      <c r="A1819" s="1">
        <v>43822</v>
      </c>
      <c r="B1819">
        <v>101818.02499999999</v>
      </c>
      <c r="C1819">
        <v>47.19823427</v>
      </c>
      <c r="D1819" s="2">
        <v>12.1</v>
      </c>
      <c r="E1819" s="2">
        <v>20</v>
      </c>
      <c r="F1819" s="2">
        <v>29.2</v>
      </c>
      <c r="G1819" s="2">
        <v>0</v>
      </c>
      <c r="H1819" s="2" t="str">
        <f>VLOOKUP(A1819,Holidays!$A$2:$B$2107,2,1)</f>
        <v>N</v>
      </c>
      <c r="I1819" s="2" t="str">
        <f>VLOOKUP(A1819,Holidays!$A$2:$C$2107,3,1)</f>
        <v>N</v>
      </c>
    </row>
    <row r="1820" spans="1:9" x14ac:dyDescent="0.45">
      <c r="A1820" s="1">
        <v>43823</v>
      </c>
      <c r="B1820">
        <v>102168.93</v>
      </c>
      <c r="C1820">
        <v>57.331305110000002</v>
      </c>
      <c r="D1820" s="2">
        <v>14.1</v>
      </c>
      <c r="E1820" s="2">
        <v>24.5</v>
      </c>
      <c r="F1820" s="2">
        <v>31.4</v>
      </c>
      <c r="G1820" s="2">
        <v>0</v>
      </c>
      <c r="H1820" s="2" t="str">
        <f>VLOOKUP(A1820,Holidays!$A$2:$B$2107,2,1)</f>
        <v>N</v>
      </c>
      <c r="I1820" s="2" t="str">
        <f>VLOOKUP(A1820,Holidays!$A$2:$C$2107,3,1)</f>
        <v>N</v>
      </c>
    </row>
    <row r="1821" spans="1:9" x14ac:dyDescent="0.45">
      <c r="A1821" s="1">
        <v>43824</v>
      </c>
      <c r="B1821">
        <v>98312.744999999995</v>
      </c>
      <c r="C1821">
        <v>42.257239390000002</v>
      </c>
      <c r="D1821" s="2">
        <v>14</v>
      </c>
      <c r="E1821" s="2">
        <v>27.9</v>
      </c>
      <c r="F1821" s="2">
        <v>32</v>
      </c>
      <c r="G1821" s="2">
        <v>0</v>
      </c>
      <c r="H1821" s="2" t="str">
        <f>VLOOKUP(A1821,Holidays!$A$2:$B$2107,2,1)</f>
        <v>N</v>
      </c>
      <c r="I1821" s="2" t="str">
        <f>VLOOKUP(A1821,Holidays!$A$2:$C$2107,3,1)</f>
        <v>Y</v>
      </c>
    </row>
    <row r="1822" spans="1:9" x14ac:dyDescent="0.45">
      <c r="A1822" s="1">
        <v>43825</v>
      </c>
      <c r="B1822">
        <v>96120.524999999994</v>
      </c>
      <c r="C1822">
        <v>41.255986679999999</v>
      </c>
      <c r="D1822" s="2">
        <v>16.5</v>
      </c>
      <c r="E1822" s="2">
        <v>20.5</v>
      </c>
      <c r="F1822" s="2">
        <v>26.2</v>
      </c>
      <c r="G1822" s="2">
        <v>0</v>
      </c>
      <c r="H1822" s="2" t="str">
        <f>VLOOKUP(A1822,Holidays!$A$2:$B$2107,2,1)</f>
        <v>N</v>
      </c>
      <c r="I1822" s="2" t="str">
        <f>VLOOKUP(A1822,Holidays!$A$2:$C$2107,3,1)</f>
        <v>Y</v>
      </c>
    </row>
    <row r="1823" spans="1:9" x14ac:dyDescent="0.45">
      <c r="A1823" s="1">
        <v>43826</v>
      </c>
      <c r="B1823">
        <v>107256.065</v>
      </c>
      <c r="C1823">
        <v>56.122451329999997</v>
      </c>
      <c r="D1823" s="2">
        <v>13.6</v>
      </c>
      <c r="E1823" s="2">
        <v>23.9</v>
      </c>
      <c r="F1823" s="2">
        <v>31.6</v>
      </c>
      <c r="G1823" s="2">
        <v>0</v>
      </c>
      <c r="H1823" s="2" t="str">
        <f>VLOOKUP(A1823,Holidays!$A$2:$B$2107,2,1)</f>
        <v>N</v>
      </c>
      <c r="I1823" s="2" t="str">
        <f>VLOOKUP(A1823,Holidays!$A$2:$C$2107,3,1)</f>
        <v>N</v>
      </c>
    </row>
    <row r="1824" spans="1:9" x14ac:dyDescent="0.45">
      <c r="A1824" s="1">
        <v>43827</v>
      </c>
      <c r="B1824">
        <v>113521.685</v>
      </c>
      <c r="C1824">
        <v>63.295449300000001</v>
      </c>
      <c r="D1824" s="2">
        <v>16.7</v>
      </c>
      <c r="E1824" s="2">
        <v>28.4</v>
      </c>
      <c r="F1824" s="2">
        <v>20.6</v>
      </c>
      <c r="G1824" s="2">
        <v>0</v>
      </c>
      <c r="H1824" s="2" t="str">
        <f>VLOOKUP(A1824,Holidays!$A$2:$B$2107,2,1)</f>
        <v>N</v>
      </c>
      <c r="I1824" s="2" t="str">
        <f>VLOOKUP(A1824,Holidays!$A$2:$C$2107,3,1)</f>
        <v>N</v>
      </c>
    </row>
    <row r="1825" spans="1:9" x14ac:dyDescent="0.45">
      <c r="A1825" s="1">
        <v>43828</v>
      </c>
      <c r="B1825">
        <v>118293.52499999999</v>
      </c>
      <c r="C1825">
        <v>87.686688779999997</v>
      </c>
      <c r="D1825" s="2">
        <v>16.8</v>
      </c>
      <c r="E1825" s="2">
        <v>33.200000000000003</v>
      </c>
      <c r="F1825" s="2">
        <v>31.9</v>
      </c>
      <c r="G1825" s="2">
        <v>0</v>
      </c>
      <c r="H1825" s="2" t="str">
        <f>VLOOKUP(A1825,Holidays!$A$2:$B$2107,2,1)</f>
        <v>N</v>
      </c>
      <c r="I1825" s="2" t="str">
        <f>VLOOKUP(A1825,Holidays!$A$2:$C$2107,3,1)</f>
        <v>N</v>
      </c>
    </row>
    <row r="1826" spans="1:9" x14ac:dyDescent="0.45">
      <c r="A1826" s="1">
        <v>43829</v>
      </c>
      <c r="B1826">
        <v>140410.125</v>
      </c>
      <c r="C1826">
        <v>295.82920189999999</v>
      </c>
      <c r="D1826" s="2">
        <v>19.7</v>
      </c>
      <c r="E1826" s="2">
        <v>40.799999999999997</v>
      </c>
      <c r="F1826" s="2">
        <v>18.8</v>
      </c>
      <c r="G1826" s="2">
        <v>0</v>
      </c>
      <c r="H1826" s="2" t="str">
        <f>VLOOKUP(A1826,Holidays!$A$2:$B$2107,2,1)</f>
        <v>N</v>
      </c>
      <c r="I1826" s="2" t="str">
        <f>VLOOKUP(A1826,Holidays!$A$2:$C$2107,3,1)</f>
        <v>N</v>
      </c>
    </row>
    <row r="1827" spans="1:9" x14ac:dyDescent="0.45">
      <c r="A1827" s="1">
        <v>43830</v>
      </c>
      <c r="B1827">
        <v>95410.39</v>
      </c>
      <c r="C1827">
        <v>46.251483919999998</v>
      </c>
      <c r="D1827" s="2">
        <v>15.3</v>
      </c>
      <c r="E1827" s="2">
        <v>21.2</v>
      </c>
      <c r="F1827" s="2">
        <v>29.3</v>
      </c>
      <c r="G1827" s="2">
        <v>2.4</v>
      </c>
      <c r="H1827" s="2" t="str">
        <f>VLOOKUP(A1827,Holidays!$A$2:$B$2107,2,1)</f>
        <v>N</v>
      </c>
      <c r="I1827" s="2" t="str">
        <f>VLOOKUP(A1827,Holidays!$A$2:$C$2107,3,1)</f>
        <v>N</v>
      </c>
    </row>
    <row r="1828" spans="1:9" x14ac:dyDescent="0.45">
      <c r="A1828" s="1">
        <v>43831</v>
      </c>
      <c r="B1828">
        <v>89077.854999999996</v>
      </c>
      <c r="C1828">
        <v>50.921802759999999</v>
      </c>
      <c r="D1828" s="2">
        <v>11.8</v>
      </c>
      <c r="E1828" s="2">
        <v>24.9</v>
      </c>
      <c r="F1828" s="2">
        <v>31.6</v>
      </c>
      <c r="G1828" s="2">
        <v>0</v>
      </c>
      <c r="H1828" s="2" t="str">
        <f>VLOOKUP(A1828,Holidays!$A$2:$B$2107,2,1)</f>
        <v>N</v>
      </c>
      <c r="I1828" s="2" t="str">
        <f>VLOOKUP(A1828,Holidays!$A$2:$C$2107,3,1)</f>
        <v>Y</v>
      </c>
    </row>
    <row r="1829" spans="1:9" x14ac:dyDescent="0.45">
      <c r="A1829" s="1">
        <v>43832</v>
      </c>
      <c r="B1829">
        <v>102988.185</v>
      </c>
      <c r="C1829">
        <v>69.546225629999995</v>
      </c>
      <c r="D1829" s="2">
        <v>12.8</v>
      </c>
      <c r="E1829" s="2">
        <v>25</v>
      </c>
      <c r="F1829" s="2">
        <v>31.6</v>
      </c>
      <c r="G1829" s="2">
        <v>0</v>
      </c>
      <c r="H1829" s="2" t="str">
        <f>VLOOKUP(A1829,Holidays!$A$2:$B$2107,2,1)</f>
        <v>N</v>
      </c>
      <c r="I1829" s="2" t="str">
        <f>VLOOKUP(A1829,Holidays!$A$2:$C$2107,3,1)</f>
        <v>N</v>
      </c>
    </row>
    <row r="1830" spans="1:9" x14ac:dyDescent="0.45">
      <c r="A1830" s="1">
        <v>43833</v>
      </c>
      <c r="B1830">
        <v>118922.215</v>
      </c>
      <c r="C1830">
        <v>65.435921559999997</v>
      </c>
      <c r="D1830" s="2">
        <v>13.7</v>
      </c>
      <c r="E1830" s="2">
        <v>36.6</v>
      </c>
      <c r="F1830" s="2">
        <v>30.7</v>
      </c>
      <c r="G1830" s="2">
        <v>0</v>
      </c>
      <c r="H1830" s="2" t="str">
        <f>VLOOKUP(A1830,Holidays!$A$2:$B$2107,2,1)</f>
        <v>N</v>
      </c>
      <c r="I1830" s="2" t="str">
        <f>VLOOKUP(A1830,Holidays!$A$2:$C$2107,3,1)</f>
        <v>N</v>
      </c>
    </row>
    <row r="1831" spans="1:9" x14ac:dyDescent="0.45">
      <c r="A1831" s="1">
        <v>43834</v>
      </c>
      <c r="B1831">
        <v>102245.61</v>
      </c>
      <c r="C1831">
        <v>28.04223073</v>
      </c>
      <c r="D1831" s="2">
        <v>18.600000000000001</v>
      </c>
      <c r="E1831" s="2">
        <v>26.8</v>
      </c>
      <c r="F1831" s="2">
        <v>22.8</v>
      </c>
      <c r="G1831" s="2">
        <v>0</v>
      </c>
      <c r="H1831" s="2" t="str">
        <f>VLOOKUP(A1831,Holidays!$A$2:$B$2107,2,1)</f>
        <v>N</v>
      </c>
      <c r="I1831" s="2" t="str">
        <f>VLOOKUP(A1831,Holidays!$A$2:$C$2107,3,1)</f>
        <v>N</v>
      </c>
    </row>
    <row r="1832" spans="1:9" x14ac:dyDescent="0.45">
      <c r="A1832" s="1">
        <v>43835</v>
      </c>
      <c r="B1832">
        <v>95671.2</v>
      </c>
      <c r="C1832">
        <v>18.87543557</v>
      </c>
      <c r="D1832" s="2">
        <v>12.7</v>
      </c>
      <c r="E1832" s="2">
        <v>16.7</v>
      </c>
      <c r="F1832" s="2">
        <v>5.0999999999999996</v>
      </c>
      <c r="G1832" s="2">
        <v>2.2000000000000002</v>
      </c>
      <c r="H1832" s="2" t="str">
        <f>VLOOKUP(A1832,Holidays!$A$2:$B$2107,2,1)</f>
        <v>N</v>
      </c>
      <c r="I1832" s="2" t="str">
        <f>VLOOKUP(A1832,Holidays!$A$2:$C$2107,3,1)</f>
        <v>N</v>
      </c>
    </row>
    <row r="1833" spans="1:9" x14ac:dyDescent="0.45">
      <c r="A1833" s="1">
        <v>43836</v>
      </c>
      <c r="B1833">
        <v>110253.59</v>
      </c>
      <c r="C1833">
        <v>56.104400259999998</v>
      </c>
      <c r="D1833" s="2">
        <v>11.9</v>
      </c>
      <c r="E1833" s="2">
        <v>18</v>
      </c>
      <c r="F1833" s="2">
        <v>2.7</v>
      </c>
      <c r="G1833" s="2">
        <v>8.1999999999999993</v>
      </c>
      <c r="H1833" s="2" t="str">
        <f>VLOOKUP(A1833,Holidays!$A$2:$B$2107,2,1)</f>
        <v>N</v>
      </c>
      <c r="I1833" s="2" t="str">
        <f>VLOOKUP(A1833,Holidays!$A$2:$C$2107,3,1)</f>
        <v>N</v>
      </c>
    </row>
    <row r="1834" spans="1:9" x14ac:dyDescent="0.45">
      <c r="A1834" s="1">
        <v>43837</v>
      </c>
      <c r="B1834">
        <v>109336.56</v>
      </c>
      <c r="C1834">
        <v>59.42379013</v>
      </c>
      <c r="D1834" s="2">
        <v>12.6</v>
      </c>
      <c r="E1834" s="2">
        <v>20.100000000000001</v>
      </c>
      <c r="F1834" s="2">
        <v>7.7</v>
      </c>
      <c r="G1834" s="2">
        <v>1.2</v>
      </c>
      <c r="H1834" s="2" t="str">
        <f>VLOOKUP(A1834,Holidays!$A$2:$B$2107,2,1)</f>
        <v>N</v>
      </c>
      <c r="I1834" s="2" t="str">
        <f>VLOOKUP(A1834,Holidays!$A$2:$C$2107,3,1)</f>
        <v>N</v>
      </c>
    </row>
    <row r="1835" spans="1:9" x14ac:dyDescent="0.45">
      <c r="A1835" s="1">
        <v>43838</v>
      </c>
      <c r="B1835">
        <v>110038.625</v>
      </c>
      <c r="C1835">
        <v>53.313229810000003</v>
      </c>
      <c r="D1835" s="2">
        <v>16.8</v>
      </c>
      <c r="E1835" s="2">
        <v>23.8</v>
      </c>
      <c r="F1835" s="2">
        <v>26.9</v>
      </c>
      <c r="G1835" s="2">
        <v>0</v>
      </c>
      <c r="H1835" s="2" t="str">
        <f>VLOOKUP(A1835,Holidays!$A$2:$B$2107,2,1)</f>
        <v>N</v>
      </c>
      <c r="I1835" s="2" t="str">
        <f>VLOOKUP(A1835,Holidays!$A$2:$C$2107,3,1)</f>
        <v>N</v>
      </c>
    </row>
    <row r="1836" spans="1:9" x14ac:dyDescent="0.45">
      <c r="A1836" s="1">
        <v>43839</v>
      </c>
      <c r="B1836">
        <v>127365.59</v>
      </c>
      <c r="C1836">
        <v>86.980864980000007</v>
      </c>
      <c r="D1836" s="2">
        <v>17.899999999999999</v>
      </c>
      <c r="E1836" s="2">
        <v>31.9</v>
      </c>
      <c r="F1836" s="2">
        <v>29.8</v>
      </c>
      <c r="G1836" s="2">
        <v>0</v>
      </c>
      <c r="H1836" s="2" t="str">
        <f>VLOOKUP(A1836,Holidays!$A$2:$B$2107,2,1)</f>
        <v>N</v>
      </c>
      <c r="I1836" s="2" t="str">
        <f>VLOOKUP(A1836,Holidays!$A$2:$C$2107,3,1)</f>
        <v>N</v>
      </c>
    </row>
    <row r="1837" spans="1:9" x14ac:dyDescent="0.45">
      <c r="A1837" s="1">
        <v>43840</v>
      </c>
      <c r="B1837">
        <v>122533.88</v>
      </c>
      <c r="C1837">
        <v>65.485985589999999</v>
      </c>
      <c r="D1837" s="2">
        <v>20.100000000000001</v>
      </c>
      <c r="E1837" s="2">
        <v>32.9</v>
      </c>
      <c r="F1837" s="2">
        <v>10.1</v>
      </c>
      <c r="G1837" s="2">
        <v>0</v>
      </c>
      <c r="H1837" s="2" t="str">
        <f>VLOOKUP(A1837,Holidays!$A$2:$B$2107,2,1)</f>
        <v>N</v>
      </c>
      <c r="I1837" s="2" t="str">
        <f>VLOOKUP(A1837,Holidays!$A$2:$C$2107,3,1)</f>
        <v>N</v>
      </c>
    </row>
    <row r="1838" spans="1:9" x14ac:dyDescent="0.45">
      <c r="A1838" s="1">
        <v>43841</v>
      </c>
      <c r="B1838">
        <v>91886.604999999996</v>
      </c>
      <c r="C1838">
        <v>22.78453983</v>
      </c>
      <c r="D1838" s="2">
        <v>13.5</v>
      </c>
      <c r="E1838" s="2">
        <v>19.3</v>
      </c>
      <c r="F1838" s="2">
        <v>18.2</v>
      </c>
      <c r="G1838" s="2">
        <v>15.6</v>
      </c>
      <c r="H1838" s="2" t="str">
        <f>VLOOKUP(A1838,Holidays!$A$2:$B$2107,2,1)</f>
        <v>N</v>
      </c>
      <c r="I1838" s="2" t="str">
        <f>VLOOKUP(A1838,Holidays!$A$2:$C$2107,3,1)</f>
        <v>N</v>
      </c>
    </row>
    <row r="1839" spans="1:9" x14ac:dyDescent="0.45">
      <c r="A1839" s="1">
        <v>43842</v>
      </c>
      <c r="B1839">
        <v>91797.595000000001</v>
      </c>
      <c r="C1839">
        <v>45.627913079999999</v>
      </c>
      <c r="D1839" s="2">
        <v>14.2</v>
      </c>
      <c r="E1839" s="2">
        <v>19.899999999999999</v>
      </c>
      <c r="F1839" s="2">
        <v>21.9</v>
      </c>
      <c r="G1839" s="2">
        <v>0</v>
      </c>
      <c r="H1839" s="2" t="str">
        <f>VLOOKUP(A1839,Holidays!$A$2:$B$2107,2,1)</f>
        <v>N</v>
      </c>
      <c r="I1839" s="2" t="str">
        <f>VLOOKUP(A1839,Holidays!$A$2:$C$2107,3,1)</f>
        <v>N</v>
      </c>
    </row>
    <row r="1840" spans="1:9" x14ac:dyDescent="0.45">
      <c r="A1840" s="1">
        <v>43843</v>
      </c>
      <c r="B1840">
        <v>119653.94500000001</v>
      </c>
      <c r="C1840">
        <v>76.952473240000003</v>
      </c>
      <c r="D1840" s="2">
        <v>12.7</v>
      </c>
      <c r="E1840" s="2">
        <v>32.200000000000003</v>
      </c>
      <c r="F1840" s="2">
        <v>28.1</v>
      </c>
      <c r="G1840" s="2">
        <v>0</v>
      </c>
      <c r="H1840" s="2" t="str">
        <f>VLOOKUP(A1840,Holidays!$A$2:$B$2107,2,1)</f>
        <v>N</v>
      </c>
      <c r="I1840" s="2" t="str">
        <f>VLOOKUP(A1840,Holidays!$A$2:$C$2107,3,1)</f>
        <v>N</v>
      </c>
    </row>
    <row r="1841" spans="1:9" x14ac:dyDescent="0.45">
      <c r="A1841" s="1">
        <v>43844</v>
      </c>
      <c r="B1841">
        <v>137302.60500000001</v>
      </c>
      <c r="C1841">
        <v>88.847653539999996</v>
      </c>
      <c r="D1841" s="2">
        <v>16.7</v>
      </c>
      <c r="E1841" s="2">
        <v>33.799999999999997</v>
      </c>
      <c r="F1841" s="2">
        <v>27.4</v>
      </c>
      <c r="G1841" s="2">
        <v>0</v>
      </c>
      <c r="H1841" s="2" t="str">
        <f>VLOOKUP(A1841,Holidays!$A$2:$B$2107,2,1)</f>
        <v>N</v>
      </c>
      <c r="I1841" s="2" t="str">
        <f>VLOOKUP(A1841,Holidays!$A$2:$C$2107,3,1)</f>
        <v>N</v>
      </c>
    </row>
    <row r="1842" spans="1:9" x14ac:dyDescent="0.45">
      <c r="A1842" s="1">
        <v>43845</v>
      </c>
      <c r="B1842">
        <v>137408.22500000001</v>
      </c>
      <c r="C1842">
        <v>63.73047072</v>
      </c>
      <c r="D1842" s="2">
        <v>19.5</v>
      </c>
      <c r="E1842" s="2">
        <v>36.799999999999997</v>
      </c>
      <c r="F1842" s="2">
        <v>20.8</v>
      </c>
      <c r="G1842" s="2">
        <v>0</v>
      </c>
      <c r="H1842" s="2" t="str">
        <f>VLOOKUP(A1842,Holidays!$A$2:$B$2107,2,1)</f>
        <v>N</v>
      </c>
      <c r="I1842" s="2" t="str">
        <f>VLOOKUP(A1842,Holidays!$A$2:$C$2107,3,1)</f>
        <v>N</v>
      </c>
    </row>
    <row r="1843" spans="1:9" x14ac:dyDescent="0.45">
      <c r="A1843" s="1">
        <v>43846</v>
      </c>
      <c r="B1843">
        <v>109669.645</v>
      </c>
      <c r="C1843">
        <v>33.404425930000002</v>
      </c>
      <c r="D1843" s="2">
        <v>15.7</v>
      </c>
      <c r="E1843" s="2">
        <v>19.600000000000001</v>
      </c>
      <c r="F1843" s="2">
        <v>18.600000000000001</v>
      </c>
      <c r="G1843" s="2">
        <v>19.600000000000001</v>
      </c>
      <c r="H1843" s="2" t="str">
        <f>VLOOKUP(A1843,Holidays!$A$2:$B$2107,2,1)</f>
        <v>N</v>
      </c>
      <c r="I1843" s="2" t="str">
        <f>VLOOKUP(A1843,Holidays!$A$2:$C$2107,3,1)</f>
        <v>N</v>
      </c>
    </row>
    <row r="1844" spans="1:9" x14ac:dyDescent="0.45">
      <c r="A1844" s="1">
        <v>43847</v>
      </c>
      <c r="B1844">
        <v>108108.175</v>
      </c>
      <c r="C1844">
        <v>39.500761930000003</v>
      </c>
      <c r="D1844" s="2">
        <v>14.4</v>
      </c>
      <c r="E1844" s="2">
        <v>24.8</v>
      </c>
      <c r="F1844" s="2">
        <v>24.4</v>
      </c>
      <c r="G1844" s="2">
        <v>0</v>
      </c>
      <c r="H1844" s="2" t="str">
        <f>VLOOKUP(A1844,Holidays!$A$2:$B$2107,2,1)</f>
        <v>N</v>
      </c>
      <c r="I1844" s="2" t="str">
        <f>VLOOKUP(A1844,Holidays!$A$2:$C$2107,3,1)</f>
        <v>N</v>
      </c>
    </row>
    <row r="1845" spans="1:9" x14ac:dyDescent="0.45">
      <c r="A1845" s="1">
        <v>43848</v>
      </c>
      <c r="B1845">
        <v>105946.34</v>
      </c>
      <c r="C1845">
        <v>52.05315547</v>
      </c>
      <c r="D1845" s="2">
        <v>13.9</v>
      </c>
      <c r="E1845" s="2">
        <v>29.4</v>
      </c>
      <c r="F1845" s="2">
        <v>27.2</v>
      </c>
      <c r="G1845" s="2">
        <v>0</v>
      </c>
      <c r="H1845" s="2" t="str">
        <f>VLOOKUP(A1845,Holidays!$A$2:$B$2107,2,1)</f>
        <v>N</v>
      </c>
      <c r="I1845" s="2" t="str">
        <f>VLOOKUP(A1845,Holidays!$A$2:$C$2107,3,1)</f>
        <v>N</v>
      </c>
    </row>
    <row r="1846" spans="1:9" x14ac:dyDescent="0.45">
      <c r="A1846" s="1">
        <v>43849</v>
      </c>
      <c r="B1846">
        <v>106921.55499999999</v>
      </c>
      <c r="C1846">
        <v>60.347055949999998</v>
      </c>
      <c r="D1846" s="2">
        <v>17.5</v>
      </c>
      <c r="E1846" s="2">
        <v>25.5</v>
      </c>
      <c r="F1846" s="2">
        <v>23.9</v>
      </c>
      <c r="G1846" s="2">
        <v>0</v>
      </c>
      <c r="H1846" s="2" t="str">
        <f>VLOOKUP(A1846,Holidays!$A$2:$B$2107,2,1)</f>
        <v>N</v>
      </c>
      <c r="I1846" s="2" t="str">
        <f>VLOOKUP(A1846,Holidays!$A$2:$C$2107,3,1)</f>
        <v>N</v>
      </c>
    </row>
    <row r="1847" spans="1:9" x14ac:dyDescent="0.45">
      <c r="A1847" s="1">
        <v>43850</v>
      </c>
      <c r="B1847">
        <v>116291.535</v>
      </c>
      <c r="C1847">
        <v>45.359335479999999</v>
      </c>
      <c r="D1847" s="2">
        <v>19.100000000000001</v>
      </c>
      <c r="E1847" s="2">
        <v>21.8</v>
      </c>
      <c r="F1847" s="2">
        <v>8.8000000000000007</v>
      </c>
      <c r="G1847" s="2">
        <v>0.4</v>
      </c>
      <c r="H1847" s="2" t="str">
        <f>VLOOKUP(A1847,Holidays!$A$2:$B$2107,2,1)</f>
        <v>N</v>
      </c>
      <c r="I1847" s="2" t="str">
        <f>VLOOKUP(A1847,Holidays!$A$2:$C$2107,3,1)</f>
        <v>N</v>
      </c>
    </row>
    <row r="1848" spans="1:9" x14ac:dyDescent="0.45">
      <c r="A1848" s="1">
        <v>43851</v>
      </c>
      <c r="B1848">
        <v>112128.19500000001</v>
      </c>
      <c r="C1848">
        <v>53.564869539999997</v>
      </c>
      <c r="D1848" s="2">
        <v>14.8</v>
      </c>
      <c r="E1848" s="2">
        <v>23.5</v>
      </c>
      <c r="F1848" s="2">
        <v>28.4</v>
      </c>
      <c r="G1848" s="2">
        <v>44</v>
      </c>
      <c r="H1848" s="2" t="str">
        <f>VLOOKUP(A1848,Holidays!$A$2:$B$2107,2,1)</f>
        <v>N</v>
      </c>
      <c r="I1848" s="2" t="str">
        <f>VLOOKUP(A1848,Holidays!$A$2:$C$2107,3,1)</f>
        <v>N</v>
      </c>
    </row>
    <row r="1849" spans="1:9" x14ac:dyDescent="0.45">
      <c r="A1849" s="1">
        <v>43852</v>
      </c>
      <c r="B1849">
        <v>119287.15</v>
      </c>
      <c r="C1849">
        <v>45.155690849999999</v>
      </c>
      <c r="D1849" s="2">
        <v>14.1</v>
      </c>
      <c r="E1849" s="2">
        <v>31.7</v>
      </c>
      <c r="F1849" s="2">
        <v>12.4</v>
      </c>
      <c r="G1849" s="2">
        <v>0</v>
      </c>
      <c r="H1849" s="2" t="str">
        <f>VLOOKUP(A1849,Holidays!$A$2:$B$2107,2,1)</f>
        <v>N</v>
      </c>
      <c r="I1849" s="2" t="str">
        <f>VLOOKUP(A1849,Holidays!$A$2:$C$2107,3,1)</f>
        <v>N</v>
      </c>
    </row>
    <row r="1850" spans="1:9" x14ac:dyDescent="0.45">
      <c r="A1850" s="1">
        <v>43853</v>
      </c>
      <c r="B1850">
        <v>112254.83</v>
      </c>
      <c r="C1850">
        <v>-1.7614234529999999</v>
      </c>
      <c r="D1850" s="2">
        <v>12.9</v>
      </c>
      <c r="E1850" s="2">
        <v>22.6</v>
      </c>
      <c r="F1850" s="2">
        <v>13.4</v>
      </c>
      <c r="G1850" s="2">
        <v>22.8</v>
      </c>
      <c r="H1850" s="2" t="str">
        <f>VLOOKUP(A1850,Holidays!$A$2:$B$2107,2,1)</f>
        <v>N</v>
      </c>
      <c r="I1850" s="2" t="str">
        <f>VLOOKUP(A1850,Holidays!$A$2:$C$2107,3,1)</f>
        <v>N</v>
      </c>
    </row>
    <row r="1851" spans="1:9" x14ac:dyDescent="0.45">
      <c r="A1851" s="1">
        <v>43854</v>
      </c>
      <c r="B1851">
        <v>109316.375</v>
      </c>
      <c r="C1851">
        <v>49.479433710000002</v>
      </c>
      <c r="D1851" s="2">
        <v>11.7</v>
      </c>
      <c r="E1851" s="2">
        <v>24.1</v>
      </c>
      <c r="F1851" s="2">
        <v>20.6</v>
      </c>
      <c r="G1851" s="2">
        <v>1.2</v>
      </c>
      <c r="H1851" s="2" t="str">
        <f>VLOOKUP(A1851,Holidays!$A$2:$B$2107,2,1)</f>
        <v>N</v>
      </c>
      <c r="I1851" s="2" t="str">
        <f>VLOOKUP(A1851,Holidays!$A$2:$C$2107,3,1)</f>
        <v>N</v>
      </c>
    </row>
    <row r="1852" spans="1:9" x14ac:dyDescent="0.45">
      <c r="A1852" s="1">
        <v>43855</v>
      </c>
      <c r="B1852">
        <v>102445.88</v>
      </c>
      <c r="C1852">
        <v>50.132823129999998</v>
      </c>
      <c r="D1852" s="2">
        <v>13</v>
      </c>
      <c r="E1852" s="2">
        <v>27.4</v>
      </c>
      <c r="F1852" s="2">
        <v>30</v>
      </c>
      <c r="G1852" s="2">
        <v>0</v>
      </c>
      <c r="H1852" s="2" t="str">
        <f>VLOOKUP(A1852,Holidays!$A$2:$B$2107,2,1)</f>
        <v>N</v>
      </c>
      <c r="I1852" s="2" t="str">
        <f>VLOOKUP(A1852,Holidays!$A$2:$C$2107,3,1)</f>
        <v>N</v>
      </c>
    </row>
    <row r="1853" spans="1:9" x14ac:dyDescent="0.45">
      <c r="A1853" s="1">
        <v>43856</v>
      </c>
      <c r="B1853">
        <v>101233.205</v>
      </c>
      <c r="C1853">
        <v>51.415029230000002</v>
      </c>
      <c r="D1853" s="2">
        <v>15.8</v>
      </c>
      <c r="E1853" s="2">
        <v>23.6</v>
      </c>
      <c r="F1853" s="2">
        <v>24</v>
      </c>
      <c r="G1853" s="2">
        <v>0</v>
      </c>
      <c r="H1853" s="2" t="str">
        <f>VLOOKUP(A1853,Holidays!$A$2:$B$2107,2,1)</f>
        <v>N</v>
      </c>
      <c r="I1853" s="2" t="str">
        <f>VLOOKUP(A1853,Holidays!$A$2:$C$2107,3,1)</f>
        <v>Y</v>
      </c>
    </row>
    <row r="1854" spans="1:9" x14ac:dyDescent="0.45">
      <c r="A1854" s="1">
        <v>43857</v>
      </c>
      <c r="B1854">
        <v>103134.46</v>
      </c>
      <c r="C1854">
        <v>54.453082340000002</v>
      </c>
      <c r="D1854" s="2">
        <v>12.8</v>
      </c>
      <c r="E1854" s="2">
        <v>23.1</v>
      </c>
      <c r="F1854" s="2">
        <v>26.1</v>
      </c>
      <c r="G1854" s="2">
        <v>0</v>
      </c>
      <c r="H1854" s="2" t="str">
        <f>VLOOKUP(A1854,Holidays!$A$2:$B$2107,2,1)</f>
        <v>N</v>
      </c>
      <c r="I1854" s="2" t="str">
        <f>VLOOKUP(A1854,Holidays!$A$2:$C$2107,3,1)</f>
        <v>Y</v>
      </c>
    </row>
    <row r="1855" spans="1:9" x14ac:dyDescent="0.45">
      <c r="A1855" s="1">
        <v>43858</v>
      </c>
      <c r="B1855">
        <v>116190.55499999999</v>
      </c>
      <c r="C1855">
        <v>67.173829400000002</v>
      </c>
      <c r="D1855" s="2">
        <v>13.6</v>
      </c>
      <c r="E1855" s="2">
        <v>25.4</v>
      </c>
      <c r="F1855" s="2">
        <v>26.5</v>
      </c>
      <c r="G1855" s="2">
        <v>0</v>
      </c>
      <c r="H1855" s="2" t="str">
        <f>VLOOKUP(A1855,Holidays!$A$2:$B$2107,2,1)</f>
        <v>N</v>
      </c>
      <c r="I1855" s="2" t="str">
        <f>VLOOKUP(A1855,Holidays!$A$2:$C$2107,3,1)</f>
        <v>N</v>
      </c>
    </row>
    <row r="1856" spans="1:9" x14ac:dyDescent="0.45">
      <c r="A1856" s="1">
        <v>43859</v>
      </c>
      <c r="B1856">
        <v>129812.91499999999</v>
      </c>
      <c r="C1856">
        <v>78.27234224</v>
      </c>
      <c r="D1856" s="2">
        <v>15.2</v>
      </c>
      <c r="E1856" s="2">
        <v>31.5</v>
      </c>
      <c r="F1856" s="2">
        <v>29.5</v>
      </c>
      <c r="G1856" s="2">
        <v>0</v>
      </c>
      <c r="H1856" s="2" t="str">
        <f>VLOOKUP(A1856,Holidays!$A$2:$B$2107,2,1)</f>
        <v>N</v>
      </c>
      <c r="I1856" s="2" t="str">
        <f>VLOOKUP(A1856,Holidays!$A$2:$C$2107,3,1)</f>
        <v>N</v>
      </c>
    </row>
    <row r="1857" spans="1:9" x14ac:dyDescent="0.45">
      <c r="A1857" s="1">
        <v>43860</v>
      </c>
      <c r="B1857">
        <v>154816.49</v>
      </c>
      <c r="C1857">
        <v>1044.4473029999999</v>
      </c>
      <c r="D1857" s="2">
        <v>16.399999999999999</v>
      </c>
      <c r="E1857" s="2">
        <v>39.4</v>
      </c>
      <c r="F1857" s="2">
        <v>29.3</v>
      </c>
      <c r="G1857" s="2">
        <v>0</v>
      </c>
      <c r="H1857" s="2" t="str">
        <f>VLOOKUP(A1857,Holidays!$A$2:$B$2107,2,1)</f>
        <v>Y</v>
      </c>
      <c r="I1857" s="2" t="str">
        <f>VLOOKUP(A1857,Holidays!$A$2:$C$2107,3,1)</f>
        <v>N</v>
      </c>
    </row>
    <row r="1858" spans="1:9" x14ac:dyDescent="0.45">
      <c r="A1858" s="1">
        <v>43861</v>
      </c>
      <c r="B1858">
        <v>170653.84</v>
      </c>
      <c r="C1858">
        <v>2809.437516</v>
      </c>
      <c r="D1858" s="2">
        <v>21.5</v>
      </c>
      <c r="E1858" s="2">
        <v>42.9</v>
      </c>
      <c r="F1858" s="2">
        <v>18.3</v>
      </c>
      <c r="G1858" s="2">
        <v>0</v>
      </c>
      <c r="H1858" s="2" t="str">
        <f>VLOOKUP(A1858,Holidays!$A$2:$B$2107,2,1)</f>
        <v>Y</v>
      </c>
      <c r="I1858" s="2" t="str">
        <f>VLOOKUP(A1858,Holidays!$A$2:$C$2107,3,1)</f>
        <v>N</v>
      </c>
    </row>
    <row r="1859" spans="1:9" x14ac:dyDescent="0.45">
      <c r="A1859" s="1">
        <v>43862</v>
      </c>
      <c r="B1859">
        <v>131856.315</v>
      </c>
      <c r="C1859">
        <v>86.908607950000004</v>
      </c>
      <c r="D1859" s="2">
        <v>23.5</v>
      </c>
      <c r="E1859" s="2">
        <v>29.3</v>
      </c>
      <c r="F1859" s="2">
        <v>1.8</v>
      </c>
      <c r="G1859" s="2">
        <v>0.8</v>
      </c>
      <c r="H1859" s="2" t="str">
        <f>VLOOKUP(A1859,Holidays!$A$2:$B$2107,2,1)</f>
        <v>Y</v>
      </c>
      <c r="I1859" s="2" t="str">
        <f>VLOOKUP(A1859,Holidays!$A$2:$C$2107,3,1)</f>
        <v>N</v>
      </c>
    </row>
    <row r="1860" spans="1:9" x14ac:dyDescent="0.45">
      <c r="A1860" s="1">
        <v>43863</v>
      </c>
      <c r="B1860">
        <v>97609.06</v>
      </c>
      <c r="C1860">
        <v>14.2356353</v>
      </c>
      <c r="D1860" s="2">
        <v>14.2</v>
      </c>
      <c r="E1860" s="2">
        <v>25.1</v>
      </c>
      <c r="F1860" s="2">
        <v>21</v>
      </c>
      <c r="G1860" s="2">
        <v>14.8</v>
      </c>
      <c r="H1860" s="2" t="str">
        <f>VLOOKUP(A1860,Holidays!$A$2:$B$2107,2,1)</f>
        <v>Y</v>
      </c>
      <c r="I1860" s="2" t="str">
        <f>VLOOKUP(A1860,Holidays!$A$2:$C$2107,3,1)</f>
        <v>N</v>
      </c>
    </row>
    <row r="1861" spans="1:9" x14ac:dyDescent="0.45">
      <c r="A1861" s="1">
        <v>43864</v>
      </c>
      <c r="B1861">
        <v>105004.91</v>
      </c>
      <c r="C1861">
        <v>15.310771989999999</v>
      </c>
      <c r="D1861" s="2">
        <v>13.2</v>
      </c>
      <c r="E1861" s="2">
        <v>17.7</v>
      </c>
      <c r="F1861" s="2">
        <v>22.7</v>
      </c>
      <c r="G1861" s="2">
        <v>0</v>
      </c>
      <c r="H1861" s="2" t="str">
        <f>VLOOKUP(A1861,Holidays!$A$2:$B$2107,2,1)</f>
        <v>Y</v>
      </c>
      <c r="I1861" s="2" t="str">
        <f>VLOOKUP(A1861,Holidays!$A$2:$C$2107,3,1)</f>
        <v>N</v>
      </c>
    </row>
    <row r="1862" spans="1:9" x14ac:dyDescent="0.45">
      <c r="A1862" s="1">
        <v>43865</v>
      </c>
      <c r="B1862">
        <v>107034.065</v>
      </c>
      <c r="C1862">
        <v>25.212092720000001</v>
      </c>
      <c r="D1862" s="2">
        <v>11.3</v>
      </c>
      <c r="E1862" s="2">
        <v>19.7</v>
      </c>
      <c r="F1862" s="2">
        <v>28.6</v>
      </c>
      <c r="G1862" s="2">
        <v>0</v>
      </c>
      <c r="H1862" s="2" t="str">
        <f>VLOOKUP(A1862,Holidays!$A$2:$B$2107,2,1)</f>
        <v>Y</v>
      </c>
      <c r="I1862" s="2" t="str">
        <f>VLOOKUP(A1862,Holidays!$A$2:$C$2107,3,1)</f>
        <v>N</v>
      </c>
    </row>
    <row r="1863" spans="1:9" x14ac:dyDescent="0.45">
      <c r="A1863" s="1">
        <v>43866</v>
      </c>
      <c r="B1863">
        <v>108988.44</v>
      </c>
      <c r="C1863">
        <v>42.116875</v>
      </c>
      <c r="D1863" s="2">
        <v>10.8</v>
      </c>
      <c r="E1863" s="2">
        <v>20.100000000000001</v>
      </c>
      <c r="F1863" s="2">
        <v>27.1</v>
      </c>
      <c r="G1863" s="2">
        <v>0</v>
      </c>
      <c r="H1863" s="2" t="str">
        <f>VLOOKUP(A1863,Holidays!$A$2:$B$2107,2,1)</f>
        <v>Y</v>
      </c>
      <c r="I1863" s="2" t="str">
        <f>VLOOKUP(A1863,Holidays!$A$2:$C$2107,3,1)</f>
        <v>N</v>
      </c>
    </row>
    <row r="1864" spans="1:9" x14ac:dyDescent="0.45">
      <c r="A1864" s="1">
        <v>43867</v>
      </c>
      <c r="B1864">
        <v>120569.46</v>
      </c>
      <c r="C1864">
        <v>42.766032299999999</v>
      </c>
      <c r="D1864" s="2">
        <v>13.7</v>
      </c>
      <c r="E1864" s="2">
        <v>25.5</v>
      </c>
      <c r="F1864" s="2">
        <v>25</v>
      </c>
      <c r="G1864" s="2">
        <v>0</v>
      </c>
      <c r="H1864" s="2" t="str">
        <f>VLOOKUP(A1864,Holidays!$A$2:$B$2107,2,1)</f>
        <v>Y</v>
      </c>
      <c r="I1864" s="2" t="str">
        <f>VLOOKUP(A1864,Holidays!$A$2:$C$2107,3,1)</f>
        <v>N</v>
      </c>
    </row>
    <row r="1865" spans="1:9" x14ac:dyDescent="0.45">
      <c r="A1865" s="1">
        <v>43868</v>
      </c>
      <c r="B1865">
        <v>120734.85</v>
      </c>
      <c r="C1865">
        <v>45.332425360000002</v>
      </c>
      <c r="D1865" s="2">
        <v>16.5</v>
      </c>
      <c r="E1865" s="2">
        <v>23.2</v>
      </c>
      <c r="F1865" s="2">
        <v>18.399999999999999</v>
      </c>
      <c r="G1865" s="2">
        <v>0</v>
      </c>
      <c r="H1865" s="2" t="str">
        <f>VLOOKUP(A1865,Holidays!$A$2:$B$2107,2,1)</f>
        <v>Y</v>
      </c>
      <c r="I1865" s="2" t="str">
        <f>VLOOKUP(A1865,Holidays!$A$2:$C$2107,3,1)</f>
        <v>N</v>
      </c>
    </row>
    <row r="1866" spans="1:9" x14ac:dyDescent="0.45">
      <c r="A1866" s="1">
        <v>43869</v>
      </c>
      <c r="B1866">
        <v>107864.44500000001</v>
      </c>
      <c r="C1866">
        <v>28.570907080000001</v>
      </c>
      <c r="D1866" s="2">
        <v>17.399999999999999</v>
      </c>
      <c r="E1866" s="2">
        <v>29.4</v>
      </c>
      <c r="F1866" s="2">
        <v>27.5</v>
      </c>
      <c r="G1866" s="2">
        <v>0</v>
      </c>
      <c r="H1866" s="2" t="str">
        <f>VLOOKUP(A1866,Holidays!$A$2:$B$2107,2,1)</f>
        <v>Y</v>
      </c>
      <c r="I1866" s="2" t="str">
        <f>VLOOKUP(A1866,Holidays!$A$2:$C$2107,3,1)</f>
        <v>N</v>
      </c>
    </row>
    <row r="1867" spans="1:9" x14ac:dyDescent="0.45">
      <c r="A1867" s="1">
        <v>43870</v>
      </c>
      <c r="B1867">
        <v>103857.11</v>
      </c>
      <c r="C1867">
        <v>21.555491809999999</v>
      </c>
      <c r="D1867" s="2">
        <v>19.600000000000001</v>
      </c>
      <c r="E1867" s="2">
        <v>28.2</v>
      </c>
      <c r="F1867" s="2">
        <v>19.899999999999999</v>
      </c>
      <c r="G1867" s="2">
        <v>0</v>
      </c>
      <c r="H1867" s="2" t="str">
        <f>VLOOKUP(A1867,Holidays!$A$2:$B$2107,2,1)</f>
        <v>Y</v>
      </c>
      <c r="I1867" s="2" t="str">
        <f>VLOOKUP(A1867,Holidays!$A$2:$C$2107,3,1)</f>
        <v>N</v>
      </c>
    </row>
    <row r="1868" spans="1:9" x14ac:dyDescent="0.45">
      <c r="A1868" s="1">
        <v>43871</v>
      </c>
      <c r="B1868">
        <v>122975.46</v>
      </c>
      <c r="C1868">
        <v>50.809242179999998</v>
      </c>
      <c r="D1868" s="2">
        <v>18.5</v>
      </c>
      <c r="E1868" s="2">
        <v>27.7</v>
      </c>
      <c r="F1868" s="2">
        <v>15</v>
      </c>
      <c r="G1868" s="2">
        <v>0.6</v>
      </c>
      <c r="H1868" s="2" t="str">
        <f>VLOOKUP(A1868,Holidays!$A$2:$B$2107,2,1)</f>
        <v>Y</v>
      </c>
      <c r="I1868" s="2" t="str">
        <f>VLOOKUP(A1868,Holidays!$A$2:$C$2107,3,1)</f>
        <v>N</v>
      </c>
    </row>
    <row r="1869" spans="1:9" x14ac:dyDescent="0.45">
      <c r="A1869" s="1">
        <v>43872</v>
      </c>
      <c r="B1869">
        <v>127110.58</v>
      </c>
      <c r="C1869">
        <v>61.289840849999997</v>
      </c>
      <c r="D1869" s="2">
        <v>19.5</v>
      </c>
      <c r="E1869" s="2">
        <v>25.9</v>
      </c>
      <c r="F1869" s="2">
        <v>19.100000000000001</v>
      </c>
      <c r="G1869" s="2">
        <v>0</v>
      </c>
      <c r="H1869" s="2" t="str">
        <f>VLOOKUP(A1869,Holidays!$A$2:$B$2107,2,1)</f>
        <v>Y</v>
      </c>
      <c r="I1869" s="2" t="str">
        <f>VLOOKUP(A1869,Holidays!$A$2:$C$2107,3,1)</f>
        <v>N</v>
      </c>
    </row>
    <row r="1870" spans="1:9" x14ac:dyDescent="0.45">
      <c r="A1870" s="1">
        <v>43873</v>
      </c>
      <c r="B1870">
        <v>124618.565</v>
      </c>
      <c r="C1870">
        <v>53.243525050000002</v>
      </c>
      <c r="D1870" s="2">
        <v>19.100000000000001</v>
      </c>
      <c r="E1870" s="2">
        <v>27.7</v>
      </c>
      <c r="F1870" s="2">
        <v>17.3</v>
      </c>
      <c r="G1870" s="2">
        <v>0</v>
      </c>
      <c r="H1870" s="2" t="str">
        <f>VLOOKUP(A1870,Holidays!$A$2:$B$2107,2,1)</f>
        <v>Y</v>
      </c>
      <c r="I1870" s="2" t="str">
        <f>VLOOKUP(A1870,Holidays!$A$2:$C$2107,3,1)</f>
        <v>N</v>
      </c>
    </row>
    <row r="1871" spans="1:9" x14ac:dyDescent="0.45">
      <c r="A1871" s="1">
        <v>43874</v>
      </c>
      <c r="B1871">
        <v>139137.185</v>
      </c>
      <c r="C1871">
        <v>79.018494320000002</v>
      </c>
      <c r="D1871" s="2">
        <v>19.399999999999999</v>
      </c>
      <c r="E1871" s="2">
        <v>31.7</v>
      </c>
      <c r="F1871" s="2">
        <v>26.7</v>
      </c>
      <c r="G1871" s="2">
        <v>0</v>
      </c>
      <c r="H1871" s="2" t="str">
        <f>VLOOKUP(A1871,Holidays!$A$2:$B$2107,2,1)</f>
        <v>Y</v>
      </c>
      <c r="I1871" s="2" t="str">
        <f>VLOOKUP(A1871,Holidays!$A$2:$C$2107,3,1)</f>
        <v>N</v>
      </c>
    </row>
    <row r="1872" spans="1:9" x14ac:dyDescent="0.45">
      <c r="A1872" s="1">
        <v>43875</v>
      </c>
      <c r="B1872">
        <v>139855.63</v>
      </c>
      <c r="C1872">
        <v>79.502643969999994</v>
      </c>
      <c r="D1872" s="2">
        <v>20.3</v>
      </c>
      <c r="E1872" s="2">
        <v>33.700000000000003</v>
      </c>
      <c r="F1872" s="2">
        <v>10.6</v>
      </c>
      <c r="G1872" s="2">
        <v>0</v>
      </c>
      <c r="H1872" s="2" t="str">
        <f>VLOOKUP(A1872,Holidays!$A$2:$B$2107,2,1)</f>
        <v>Y</v>
      </c>
      <c r="I1872" s="2" t="str">
        <f>VLOOKUP(A1872,Holidays!$A$2:$C$2107,3,1)</f>
        <v>N</v>
      </c>
    </row>
    <row r="1873" spans="1:9" x14ac:dyDescent="0.45">
      <c r="A1873" s="1">
        <v>43876</v>
      </c>
      <c r="B1873">
        <v>108300.63499999999</v>
      </c>
      <c r="C1873">
        <v>55.674962260000001</v>
      </c>
      <c r="D1873" s="2">
        <v>18.899999999999999</v>
      </c>
      <c r="E1873" s="2">
        <v>19.3</v>
      </c>
      <c r="F1873" s="2">
        <v>2.4</v>
      </c>
      <c r="G1873" s="2">
        <v>5.4</v>
      </c>
      <c r="H1873" s="2" t="str">
        <f>VLOOKUP(A1873,Holidays!$A$2:$B$2107,2,1)</f>
        <v>Y</v>
      </c>
      <c r="I1873" s="2" t="str">
        <f>VLOOKUP(A1873,Holidays!$A$2:$C$2107,3,1)</f>
        <v>N</v>
      </c>
    </row>
    <row r="1874" spans="1:9" x14ac:dyDescent="0.45">
      <c r="A1874" s="1">
        <v>43877</v>
      </c>
      <c r="B1874">
        <v>100904.27</v>
      </c>
      <c r="C1874">
        <v>47.00473539</v>
      </c>
      <c r="D1874" s="2">
        <v>16.899999999999999</v>
      </c>
      <c r="E1874" s="2">
        <v>26.4</v>
      </c>
      <c r="F1874" s="2">
        <v>23.8</v>
      </c>
      <c r="G1874" s="2">
        <v>2.8</v>
      </c>
      <c r="H1874" s="2" t="str">
        <f>VLOOKUP(A1874,Holidays!$A$2:$B$2107,2,1)</f>
        <v>Y</v>
      </c>
      <c r="I1874" s="2" t="str">
        <f>VLOOKUP(A1874,Holidays!$A$2:$C$2107,3,1)</f>
        <v>N</v>
      </c>
    </row>
    <row r="1875" spans="1:9" x14ac:dyDescent="0.45">
      <c r="A1875" s="1">
        <v>43878</v>
      </c>
      <c r="B1875">
        <v>123351.845</v>
      </c>
      <c r="C1875">
        <v>64.10902188</v>
      </c>
      <c r="D1875" s="2">
        <v>15.2</v>
      </c>
      <c r="E1875" s="2">
        <v>25.6</v>
      </c>
      <c r="F1875" s="2">
        <v>26.4</v>
      </c>
      <c r="G1875" s="2">
        <v>0</v>
      </c>
      <c r="H1875" s="2" t="str">
        <f>VLOOKUP(A1875,Holidays!$A$2:$B$2107,2,1)</f>
        <v>Y</v>
      </c>
      <c r="I1875" s="2" t="str">
        <f>VLOOKUP(A1875,Holidays!$A$2:$C$2107,3,1)</f>
        <v>N</v>
      </c>
    </row>
    <row r="1876" spans="1:9" x14ac:dyDescent="0.45">
      <c r="A1876" s="1">
        <v>43879</v>
      </c>
      <c r="B1876">
        <v>119178.12</v>
      </c>
      <c r="C1876">
        <v>60.59554515</v>
      </c>
      <c r="D1876" s="2">
        <v>17.600000000000001</v>
      </c>
      <c r="E1876" s="2">
        <v>21.8</v>
      </c>
      <c r="F1876" s="2">
        <v>7.3</v>
      </c>
      <c r="G1876" s="2">
        <v>0</v>
      </c>
      <c r="H1876" s="2" t="str">
        <f>VLOOKUP(A1876,Holidays!$A$2:$B$2107,2,1)</f>
        <v>Y</v>
      </c>
      <c r="I1876" s="2" t="str">
        <f>VLOOKUP(A1876,Holidays!$A$2:$C$2107,3,1)</f>
        <v>N</v>
      </c>
    </row>
    <row r="1877" spans="1:9" x14ac:dyDescent="0.45">
      <c r="A1877" s="1">
        <v>43880</v>
      </c>
      <c r="B1877">
        <v>109375.215</v>
      </c>
      <c r="C1877">
        <v>51.44203692</v>
      </c>
      <c r="D1877" s="2">
        <v>13.3</v>
      </c>
      <c r="E1877" s="2">
        <v>19.7</v>
      </c>
      <c r="F1877" s="2">
        <v>12.9</v>
      </c>
      <c r="G1877" s="2">
        <v>38</v>
      </c>
      <c r="H1877" s="2" t="str">
        <f>VLOOKUP(A1877,Holidays!$A$2:$B$2107,2,1)</f>
        <v>Y</v>
      </c>
      <c r="I1877" s="2" t="str">
        <f>VLOOKUP(A1877,Holidays!$A$2:$C$2107,3,1)</f>
        <v>N</v>
      </c>
    </row>
    <row r="1878" spans="1:9" x14ac:dyDescent="0.45">
      <c r="A1878" s="1">
        <v>43881</v>
      </c>
      <c r="B1878">
        <v>112202.145</v>
      </c>
      <c r="C1878">
        <v>58.361290920000002</v>
      </c>
      <c r="D1878" s="2">
        <v>14.2</v>
      </c>
      <c r="E1878" s="2">
        <v>18.7</v>
      </c>
      <c r="F1878" s="2">
        <v>15.2</v>
      </c>
      <c r="G1878" s="2">
        <v>3.2</v>
      </c>
      <c r="H1878" s="2" t="str">
        <f>VLOOKUP(A1878,Holidays!$A$2:$B$2107,2,1)</f>
        <v>Y</v>
      </c>
      <c r="I1878" s="2" t="str">
        <f>VLOOKUP(A1878,Holidays!$A$2:$C$2107,3,1)</f>
        <v>N</v>
      </c>
    </row>
    <row r="1879" spans="1:9" x14ac:dyDescent="0.45">
      <c r="A1879" s="1">
        <v>43882</v>
      </c>
      <c r="B1879">
        <v>108949.05499999999</v>
      </c>
      <c r="C1879">
        <v>48.658203370000003</v>
      </c>
      <c r="D1879" s="2">
        <v>13.5</v>
      </c>
      <c r="E1879" s="2">
        <v>19.600000000000001</v>
      </c>
      <c r="F1879" s="2">
        <v>17.100000000000001</v>
      </c>
      <c r="G1879" s="2">
        <v>2.8</v>
      </c>
      <c r="H1879" s="2" t="str">
        <f>VLOOKUP(A1879,Holidays!$A$2:$B$2107,2,1)</f>
        <v>Y</v>
      </c>
      <c r="I1879" s="2" t="str">
        <f>VLOOKUP(A1879,Holidays!$A$2:$C$2107,3,1)</f>
        <v>N</v>
      </c>
    </row>
    <row r="1880" spans="1:9" x14ac:dyDescent="0.45">
      <c r="A1880" s="1">
        <v>43883</v>
      </c>
      <c r="B1880">
        <v>96922.02</v>
      </c>
      <c r="C1880">
        <v>42.236093580000002</v>
      </c>
      <c r="D1880" s="2">
        <v>11.4</v>
      </c>
      <c r="E1880" s="2">
        <v>21.1</v>
      </c>
      <c r="F1880" s="2">
        <v>25.4</v>
      </c>
      <c r="G1880" s="2">
        <v>0</v>
      </c>
      <c r="H1880" s="2" t="str">
        <f>VLOOKUP(A1880,Holidays!$A$2:$B$2107,2,1)</f>
        <v>Y</v>
      </c>
      <c r="I1880" s="2" t="str">
        <f>VLOOKUP(A1880,Holidays!$A$2:$C$2107,3,1)</f>
        <v>N</v>
      </c>
    </row>
    <row r="1881" spans="1:9" x14ac:dyDescent="0.45">
      <c r="A1881" s="1">
        <v>43884</v>
      </c>
      <c r="B1881">
        <v>106129.66499999999</v>
      </c>
      <c r="C1881">
        <v>51.318456159999997</v>
      </c>
      <c r="D1881" s="2">
        <v>13.3</v>
      </c>
      <c r="E1881" s="2">
        <v>34</v>
      </c>
      <c r="F1881" s="2">
        <v>21.6</v>
      </c>
      <c r="G1881" s="2">
        <v>0</v>
      </c>
      <c r="H1881" s="2" t="str">
        <f>VLOOKUP(A1881,Holidays!$A$2:$B$2107,2,1)</f>
        <v>Y</v>
      </c>
      <c r="I1881" s="2" t="str">
        <f>VLOOKUP(A1881,Holidays!$A$2:$C$2107,3,1)</f>
        <v>N</v>
      </c>
    </row>
    <row r="1882" spans="1:9" x14ac:dyDescent="0.45">
      <c r="A1882" s="1">
        <v>43885</v>
      </c>
      <c r="B1882">
        <v>122619.05499999999</v>
      </c>
      <c r="C1882">
        <v>57.234083179999999</v>
      </c>
      <c r="D1882" s="2">
        <v>16.8</v>
      </c>
      <c r="E1882" s="2">
        <v>23.7</v>
      </c>
      <c r="F1882" s="2">
        <v>5.4</v>
      </c>
      <c r="G1882" s="2">
        <v>0</v>
      </c>
      <c r="H1882" s="2" t="str">
        <f>VLOOKUP(A1882,Holidays!$A$2:$B$2107,2,1)</f>
        <v>Y</v>
      </c>
      <c r="I1882" s="2" t="str">
        <f>VLOOKUP(A1882,Holidays!$A$2:$C$2107,3,1)</f>
        <v>N</v>
      </c>
    </row>
    <row r="1883" spans="1:9" x14ac:dyDescent="0.45">
      <c r="A1883" s="1">
        <v>43886</v>
      </c>
      <c r="B1883">
        <v>123558.425</v>
      </c>
      <c r="C1883">
        <v>60.554701809999997</v>
      </c>
      <c r="D1883" s="2">
        <v>18.399999999999999</v>
      </c>
      <c r="E1883" s="2">
        <v>31.6</v>
      </c>
      <c r="F1883" s="2">
        <v>10.6</v>
      </c>
      <c r="G1883" s="2">
        <v>3.6</v>
      </c>
      <c r="H1883" s="2" t="str">
        <f>VLOOKUP(A1883,Holidays!$A$2:$B$2107,2,1)</f>
        <v>Y</v>
      </c>
      <c r="I1883" s="2" t="str">
        <f>VLOOKUP(A1883,Holidays!$A$2:$C$2107,3,1)</f>
        <v>N</v>
      </c>
    </row>
    <row r="1884" spans="1:9" x14ac:dyDescent="0.45">
      <c r="A1884" s="1">
        <v>43887</v>
      </c>
      <c r="B1884">
        <v>108371.125</v>
      </c>
      <c r="C1884">
        <v>45.06152522</v>
      </c>
      <c r="D1884" s="2">
        <v>16.2</v>
      </c>
      <c r="E1884" s="2">
        <v>19.2</v>
      </c>
      <c r="F1884" s="2">
        <v>19.3</v>
      </c>
      <c r="G1884" s="2">
        <v>4</v>
      </c>
      <c r="H1884" s="2" t="str">
        <f>VLOOKUP(A1884,Holidays!$A$2:$B$2107,2,1)</f>
        <v>Y</v>
      </c>
      <c r="I1884" s="2" t="str">
        <f>VLOOKUP(A1884,Holidays!$A$2:$C$2107,3,1)</f>
        <v>N</v>
      </c>
    </row>
    <row r="1885" spans="1:9" x14ac:dyDescent="0.45">
      <c r="A1885" s="1">
        <v>43888</v>
      </c>
      <c r="B1885">
        <v>108675.4</v>
      </c>
      <c r="C1885">
        <v>48.542669150000002</v>
      </c>
      <c r="D1885" s="2">
        <v>11</v>
      </c>
      <c r="E1885" s="2">
        <v>19.7</v>
      </c>
      <c r="F1885" s="2">
        <v>11.1</v>
      </c>
      <c r="G1885" s="2">
        <v>0.2</v>
      </c>
      <c r="H1885" s="2" t="str">
        <f>VLOOKUP(A1885,Holidays!$A$2:$B$2107,2,1)</f>
        <v>Y</v>
      </c>
      <c r="I1885" s="2" t="str">
        <f>VLOOKUP(A1885,Holidays!$A$2:$C$2107,3,1)</f>
        <v>N</v>
      </c>
    </row>
    <row r="1886" spans="1:9" x14ac:dyDescent="0.45">
      <c r="A1886" s="1">
        <v>43889</v>
      </c>
      <c r="B1886">
        <v>110006.97</v>
      </c>
      <c r="C1886">
        <v>50.306352859999997</v>
      </c>
      <c r="D1886" s="2">
        <v>13.1</v>
      </c>
      <c r="E1886" s="2">
        <v>20.100000000000001</v>
      </c>
      <c r="F1886" s="2">
        <v>17.600000000000001</v>
      </c>
      <c r="G1886" s="2">
        <v>0</v>
      </c>
      <c r="H1886" s="2" t="str">
        <f>VLOOKUP(A1886,Holidays!$A$2:$B$2107,2,1)</f>
        <v>Y</v>
      </c>
      <c r="I1886" s="2" t="str">
        <f>VLOOKUP(A1886,Holidays!$A$2:$C$2107,3,1)</f>
        <v>N</v>
      </c>
    </row>
    <row r="1887" spans="1:9" x14ac:dyDescent="0.45">
      <c r="A1887" s="1">
        <v>43890</v>
      </c>
      <c r="B1887">
        <v>100380.94</v>
      </c>
      <c r="C1887">
        <v>51.289608729999998</v>
      </c>
      <c r="D1887" s="2">
        <v>14.7</v>
      </c>
      <c r="E1887" s="2">
        <v>22.4</v>
      </c>
      <c r="F1887" s="2">
        <v>22.8</v>
      </c>
      <c r="G1887" s="2">
        <v>0</v>
      </c>
      <c r="H1887" s="2" t="str">
        <f>VLOOKUP(A1887,Holidays!$A$2:$B$2107,2,1)</f>
        <v>Y</v>
      </c>
      <c r="I1887" s="2" t="str">
        <f>VLOOKUP(A1887,Holidays!$A$2:$C$2107,3,1)</f>
        <v>N</v>
      </c>
    </row>
    <row r="1888" spans="1:9" x14ac:dyDescent="0.45">
      <c r="A1888" s="1">
        <v>43891</v>
      </c>
      <c r="B1888">
        <v>101413.145</v>
      </c>
      <c r="C1888">
        <v>43.745921029999998</v>
      </c>
      <c r="D1888" s="2">
        <v>13.2</v>
      </c>
      <c r="E1888" s="2">
        <v>32.1</v>
      </c>
      <c r="F1888" s="2">
        <v>20.8</v>
      </c>
      <c r="G1888" s="2">
        <v>0</v>
      </c>
      <c r="H1888" s="2" t="str">
        <f>VLOOKUP(A1888,Holidays!$A$2:$B$2107,2,1)</f>
        <v>Y</v>
      </c>
      <c r="I1888" s="2" t="str">
        <f>VLOOKUP(A1888,Holidays!$A$2:$C$2107,3,1)</f>
        <v>N</v>
      </c>
    </row>
    <row r="1889" spans="1:9" x14ac:dyDescent="0.45">
      <c r="A1889" s="1">
        <v>43892</v>
      </c>
      <c r="B1889">
        <v>106359.955</v>
      </c>
      <c r="C1889">
        <v>52.728395089999999</v>
      </c>
      <c r="D1889" s="2">
        <v>14.2</v>
      </c>
      <c r="E1889" s="2">
        <v>18.399999999999999</v>
      </c>
      <c r="F1889" s="2">
        <v>21.1</v>
      </c>
      <c r="G1889" s="2">
        <v>3</v>
      </c>
      <c r="H1889" s="2" t="str">
        <f>VLOOKUP(A1889,Holidays!$A$2:$B$2107,2,1)</f>
        <v>Y</v>
      </c>
      <c r="I1889" s="2" t="str">
        <f>VLOOKUP(A1889,Holidays!$A$2:$C$2107,3,1)</f>
        <v>N</v>
      </c>
    </row>
    <row r="1890" spans="1:9" x14ac:dyDescent="0.45">
      <c r="A1890" s="1">
        <v>43893</v>
      </c>
      <c r="B1890">
        <v>108746.37</v>
      </c>
      <c r="C1890">
        <v>49.781089729999998</v>
      </c>
      <c r="D1890" s="2">
        <v>14.7</v>
      </c>
      <c r="E1890" s="2">
        <v>19.5</v>
      </c>
      <c r="F1890" s="2">
        <v>15.9</v>
      </c>
      <c r="G1890" s="2">
        <v>0</v>
      </c>
      <c r="H1890" s="2" t="str">
        <f>VLOOKUP(A1890,Holidays!$A$2:$B$2107,2,1)</f>
        <v>Y</v>
      </c>
      <c r="I1890" s="2" t="str">
        <f>VLOOKUP(A1890,Holidays!$A$2:$C$2107,3,1)</f>
        <v>N</v>
      </c>
    </row>
    <row r="1891" spans="1:9" x14ac:dyDescent="0.45">
      <c r="A1891" s="1">
        <v>43894</v>
      </c>
      <c r="B1891">
        <v>117505.625</v>
      </c>
      <c r="C1891">
        <v>58.522870509999997</v>
      </c>
      <c r="D1891" s="2">
        <v>13.6</v>
      </c>
      <c r="E1891" s="2">
        <v>23.5</v>
      </c>
      <c r="F1891" s="2">
        <v>7.1</v>
      </c>
      <c r="G1891" s="2">
        <v>0</v>
      </c>
      <c r="H1891" s="2" t="str">
        <f>VLOOKUP(A1891,Holidays!$A$2:$B$2107,2,1)</f>
        <v>Y</v>
      </c>
      <c r="I1891" s="2" t="str">
        <f>VLOOKUP(A1891,Holidays!$A$2:$C$2107,3,1)</f>
        <v>N</v>
      </c>
    </row>
    <row r="1892" spans="1:9" x14ac:dyDescent="0.45">
      <c r="A1892" s="1">
        <v>43895</v>
      </c>
      <c r="B1892">
        <v>119734.63499999999</v>
      </c>
      <c r="C1892">
        <v>57.036382109999998</v>
      </c>
      <c r="D1892" s="2">
        <v>15.4</v>
      </c>
      <c r="E1892" s="2">
        <v>20.3</v>
      </c>
      <c r="F1892" s="2">
        <v>4.3</v>
      </c>
      <c r="G1892" s="2">
        <v>54.6</v>
      </c>
      <c r="H1892" s="2" t="str">
        <f>VLOOKUP(A1892,Holidays!$A$2:$B$2107,2,1)</f>
        <v>Y</v>
      </c>
      <c r="I1892" s="2" t="str">
        <f>VLOOKUP(A1892,Holidays!$A$2:$C$2107,3,1)</f>
        <v>N</v>
      </c>
    </row>
    <row r="1893" spans="1:9" x14ac:dyDescent="0.45">
      <c r="A1893" s="1">
        <v>43896</v>
      </c>
      <c r="B1893">
        <v>111322.325</v>
      </c>
      <c r="C1893">
        <v>53.736514710000002</v>
      </c>
      <c r="D1893" s="2">
        <v>15.9</v>
      </c>
      <c r="E1893" s="2">
        <v>19</v>
      </c>
      <c r="F1893" s="2">
        <v>12.7</v>
      </c>
      <c r="G1893" s="2">
        <v>7</v>
      </c>
      <c r="H1893" s="2" t="str">
        <f>VLOOKUP(A1893,Holidays!$A$2:$B$2107,2,1)</f>
        <v>Y</v>
      </c>
      <c r="I1893" s="2" t="str">
        <f>VLOOKUP(A1893,Holidays!$A$2:$C$2107,3,1)</f>
        <v>N</v>
      </c>
    </row>
    <row r="1894" spans="1:9" x14ac:dyDescent="0.45">
      <c r="A1894" s="1">
        <v>43897</v>
      </c>
      <c r="B1894">
        <v>96850.78</v>
      </c>
      <c r="C1894">
        <v>28.020466209999999</v>
      </c>
      <c r="D1894" s="2">
        <v>15.4</v>
      </c>
      <c r="E1894" s="2">
        <v>20</v>
      </c>
      <c r="F1894" s="2">
        <v>17.100000000000001</v>
      </c>
      <c r="G1894" s="2">
        <v>0.2</v>
      </c>
      <c r="H1894" s="2" t="str">
        <f>VLOOKUP(A1894,Holidays!$A$2:$B$2107,2,1)</f>
        <v>Y</v>
      </c>
      <c r="I1894" s="2" t="str">
        <f>VLOOKUP(A1894,Holidays!$A$2:$C$2107,3,1)</f>
        <v>N</v>
      </c>
    </row>
    <row r="1895" spans="1:9" x14ac:dyDescent="0.45">
      <c r="A1895" s="1">
        <v>43898</v>
      </c>
      <c r="B1895">
        <v>92553.29</v>
      </c>
      <c r="C1895">
        <v>17.916415310000001</v>
      </c>
      <c r="D1895" s="2">
        <v>13.9</v>
      </c>
      <c r="E1895" s="2">
        <v>22.4</v>
      </c>
      <c r="F1895" s="2">
        <v>19.5</v>
      </c>
      <c r="G1895" s="2">
        <v>0</v>
      </c>
      <c r="H1895" s="2" t="str">
        <f>VLOOKUP(A1895,Holidays!$A$2:$B$2107,2,1)</f>
        <v>Y</v>
      </c>
      <c r="I1895" s="2" t="str">
        <f>VLOOKUP(A1895,Holidays!$A$2:$C$2107,3,1)</f>
        <v>N</v>
      </c>
    </row>
    <row r="1896" spans="1:9" x14ac:dyDescent="0.45">
      <c r="A1896" s="1">
        <v>43899</v>
      </c>
      <c r="B1896">
        <v>94641.7</v>
      </c>
      <c r="C1896">
        <v>22.041451550000001</v>
      </c>
      <c r="D1896" s="2">
        <v>12.3</v>
      </c>
      <c r="E1896" s="2">
        <v>21</v>
      </c>
      <c r="F1896" s="2">
        <v>19.7</v>
      </c>
      <c r="G1896" s="2">
        <v>0</v>
      </c>
      <c r="H1896" s="2" t="str">
        <f>VLOOKUP(A1896,Holidays!$A$2:$B$2107,2,1)</f>
        <v>Y</v>
      </c>
      <c r="I1896" s="2" t="str">
        <f>VLOOKUP(A1896,Holidays!$A$2:$C$2107,3,1)</f>
        <v>Y</v>
      </c>
    </row>
    <row r="1897" spans="1:9" x14ac:dyDescent="0.45">
      <c r="A1897" s="1">
        <v>43900</v>
      </c>
      <c r="B1897">
        <v>112142.54</v>
      </c>
      <c r="C1897">
        <v>48.059723949999999</v>
      </c>
      <c r="D1897" s="2">
        <v>10.3</v>
      </c>
      <c r="E1897" s="2">
        <v>22.3</v>
      </c>
      <c r="F1897" s="2">
        <v>21.9</v>
      </c>
      <c r="G1897" s="2">
        <v>0</v>
      </c>
      <c r="H1897" s="2" t="str">
        <f>VLOOKUP(A1897,Holidays!$A$2:$B$2107,2,1)</f>
        <v>Y</v>
      </c>
      <c r="I1897" s="2" t="str">
        <f>VLOOKUP(A1897,Holidays!$A$2:$C$2107,3,1)</f>
        <v>N</v>
      </c>
    </row>
    <row r="1898" spans="1:9" x14ac:dyDescent="0.45">
      <c r="A1898" s="1">
        <v>43901</v>
      </c>
      <c r="B1898">
        <v>118830.14</v>
      </c>
      <c r="C1898">
        <v>44.369936750000001</v>
      </c>
      <c r="D1898" s="2">
        <v>12.6</v>
      </c>
      <c r="E1898" s="2">
        <v>29.5</v>
      </c>
      <c r="F1898" s="2">
        <v>15.7</v>
      </c>
      <c r="G1898" s="2">
        <v>0</v>
      </c>
      <c r="H1898" s="2" t="str">
        <f>VLOOKUP(A1898,Holidays!$A$2:$B$2107,2,1)</f>
        <v>Y</v>
      </c>
      <c r="I1898" s="2" t="str">
        <f>VLOOKUP(A1898,Holidays!$A$2:$C$2107,3,1)</f>
        <v>N</v>
      </c>
    </row>
    <row r="1899" spans="1:9" x14ac:dyDescent="0.45">
      <c r="A1899" s="1">
        <v>43902</v>
      </c>
      <c r="B1899">
        <v>120272.77499999999</v>
      </c>
      <c r="C1899">
        <v>39.127565740000001</v>
      </c>
      <c r="D1899" s="2">
        <v>16.600000000000001</v>
      </c>
      <c r="E1899" s="2">
        <v>29.5</v>
      </c>
      <c r="F1899" s="2">
        <v>19.5</v>
      </c>
      <c r="G1899" s="2">
        <v>0</v>
      </c>
      <c r="H1899" s="2" t="str">
        <f>VLOOKUP(A1899,Holidays!$A$2:$B$2107,2,1)</f>
        <v>Y</v>
      </c>
      <c r="I1899" s="2" t="str">
        <f>VLOOKUP(A1899,Holidays!$A$2:$C$2107,3,1)</f>
        <v>N</v>
      </c>
    </row>
    <row r="1900" spans="1:9" x14ac:dyDescent="0.45">
      <c r="A1900" s="1">
        <v>43903</v>
      </c>
      <c r="B1900">
        <v>115075.81</v>
      </c>
      <c r="C1900">
        <v>40.127134920000003</v>
      </c>
      <c r="D1900" s="2">
        <v>19.100000000000001</v>
      </c>
      <c r="E1900" s="2">
        <v>26.8</v>
      </c>
      <c r="F1900" s="2">
        <v>7.3</v>
      </c>
      <c r="G1900" s="2">
        <v>0</v>
      </c>
      <c r="H1900" s="2" t="str">
        <f>VLOOKUP(A1900,Holidays!$A$2:$B$2107,2,1)</f>
        <v>Y</v>
      </c>
      <c r="I1900" s="2" t="str">
        <f>VLOOKUP(A1900,Holidays!$A$2:$C$2107,3,1)</f>
        <v>N</v>
      </c>
    </row>
    <row r="1901" spans="1:9" x14ac:dyDescent="0.45">
      <c r="A1901" s="1">
        <v>43904</v>
      </c>
      <c r="B1901">
        <v>96016.19</v>
      </c>
      <c r="C1901">
        <v>29.137325780000001</v>
      </c>
      <c r="D1901" s="2">
        <v>13.1</v>
      </c>
      <c r="E1901" s="2">
        <v>17.899999999999999</v>
      </c>
      <c r="F1901" s="2">
        <v>12.3</v>
      </c>
      <c r="G1901" s="2">
        <v>0.6</v>
      </c>
      <c r="H1901" s="2" t="str">
        <f>VLOOKUP(A1901,Holidays!$A$2:$B$2107,2,1)</f>
        <v>Y</v>
      </c>
      <c r="I1901" s="2" t="str">
        <f>VLOOKUP(A1901,Holidays!$A$2:$C$2107,3,1)</f>
        <v>N</v>
      </c>
    </row>
    <row r="1902" spans="1:9" x14ac:dyDescent="0.45">
      <c r="A1902" s="1">
        <v>43905</v>
      </c>
      <c r="B1902">
        <v>97664.934999999998</v>
      </c>
      <c r="C1902">
        <v>31.657840010000001</v>
      </c>
      <c r="D1902" s="2">
        <v>12.7</v>
      </c>
      <c r="E1902" s="2">
        <v>18.8</v>
      </c>
      <c r="F1902" s="2">
        <v>10.199999999999999</v>
      </c>
      <c r="G1902" s="2">
        <v>0</v>
      </c>
      <c r="H1902" s="2" t="str">
        <f>VLOOKUP(A1902,Holidays!$A$2:$B$2107,2,1)</f>
        <v>Y</v>
      </c>
      <c r="I1902" s="2" t="str">
        <f>VLOOKUP(A1902,Holidays!$A$2:$C$2107,3,1)</f>
        <v>N</v>
      </c>
    </row>
    <row r="1903" spans="1:9" x14ac:dyDescent="0.45">
      <c r="A1903" s="1">
        <v>43906</v>
      </c>
      <c r="B1903">
        <v>110586.815</v>
      </c>
      <c r="C1903">
        <v>46.670884049999998</v>
      </c>
      <c r="D1903" s="2">
        <v>9.3000000000000007</v>
      </c>
      <c r="E1903" s="2">
        <v>26.5</v>
      </c>
      <c r="F1903" s="2">
        <v>20.6</v>
      </c>
      <c r="G1903" s="2">
        <v>0</v>
      </c>
      <c r="H1903" s="2" t="str">
        <f>VLOOKUP(A1903,Holidays!$A$2:$B$2107,2,1)</f>
        <v>Y</v>
      </c>
      <c r="I1903" s="2" t="str">
        <f>VLOOKUP(A1903,Holidays!$A$2:$C$2107,3,1)</f>
        <v>N</v>
      </c>
    </row>
    <row r="1904" spans="1:9" x14ac:dyDescent="0.45">
      <c r="A1904" s="1">
        <v>43907</v>
      </c>
      <c r="B1904">
        <v>115254.185</v>
      </c>
      <c r="C1904">
        <v>52.451198269999999</v>
      </c>
      <c r="D1904" s="2">
        <v>11.6</v>
      </c>
      <c r="E1904" s="2">
        <v>28.2</v>
      </c>
      <c r="F1904" s="2">
        <v>19.899999999999999</v>
      </c>
      <c r="G1904" s="2">
        <v>0</v>
      </c>
      <c r="H1904" s="2" t="str">
        <f>VLOOKUP(A1904,Holidays!$A$2:$B$2107,2,1)</f>
        <v>Y</v>
      </c>
      <c r="I1904" s="2" t="str">
        <f>VLOOKUP(A1904,Holidays!$A$2:$C$2107,3,1)</f>
        <v>N</v>
      </c>
    </row>
    <row r="1905" spans="1:9" x14ac:dyDescent="0.45">
      <c r="A1905" s="1">
        <v>43908</v>
      </c>
      <c r="B1905">
        <v>121127.145</v>
      </c>
      <c r="C1905">
        <v>51.291442230000001</v>
      </c>
      <c r="D1905" s="2">
        <v>17.7</v>
      </c>
      <c r="E1905" s="2">
        <v>28.3</v>
      </c>
      <c r="F1905" s="2">
        <v>9.1</v>
      </c>
      <c r="G1905" s="2">
        <v>0</v>
      </c>
      <c r="H1905" s="2" t="str">
        <f>VLOOKUP(A1905,Holidays!$A$2:$B$2107,2,1)</f>
        <v>Y</v>
      </c>
      <c r="I1905" s="2" t="str">
        <f>VLOOKUP(A1905,Holidays!$A$2:$C$2107,3,1)</f>
        <v>N</v>
      </c>
    </row>
    <row r="1906" spans="1:9" x14ac:dyDescent="0.45">
      <c r="A1906" s="1">
        <v>43909</v>
      </c>
      <c r="B1906">
        <v>127266.86</v>
      </c>
      <c r="C1906">
        <v>47.562659549999999</v>
      </c>
      <c r="D1906" s="2">
        <v>18.7</v>
      </c>
      <c r="E1906" s="2">
        <v>30.4</v>
      </c>
      <c r="F1906" s="2">
        <v>8.1999999999999993</v>
      </c>
      <c r="G1906" s="2">
        <v>0</v>
      </c>
      <c r="H1906" s="2" t="str">
        <f>VLOOKUP(A1906,Holidays!$A$2:$B$2107,2,1)</f>
        <v>Y</v>
      </c>
      <c r="I1906" s="2" t="str">
        <f>VLOOKUP(A1906,Holidays!$A$2:$C$2107,3,1)</f>
        <v>N</v>
      </c>
    </row>
    <row r="1907" spans="1:9" x14ac:dyDescent="0.45">
      <c r="A1907" s="1">
        <v>43910</v>
      </c>
      <c r="B1907">
        <v>111547.605</v>
      </c>
      <c r="C1907">
        <v>40.76436769</v>
      </c>
      <c r="D1907" s="2">
        <v>16.100000000000001</v>
      </c>
      <c r="E1907" s="2">
        <v>22.7</v>
      </c>
      <c r="F1907" s="2">
        <v>12.6</v>
      </c>
      <c r="G1907" s="2">
        <v>0</v>
      </c>
      <c r="H1907" s="2" t="str">
        <f>VLOOKUP(A1907,Holidays!$A$2:$B$2107,2,1)</f>
        <v>Y</v>
      </c>
      <c r="I1907" s="2" t="str">
        <f>VLOOKUP(A1907,Holidays!$A$2:$C$2107,3,1)</f>
        <v>N</v>
      </c>
    </row>
    <row r="1908" spans="1:9" x14ac:dyDescent="0.45">
      <c r="A1908" s="1">
        <v>43911</v>
      </c>
      <c r="B1908">
        <v>103999.33500000001</v>
      </c>
      <c r="C1908">
        <v>47.458698750000003</v>
      </c>
      <c r="D1908" s="2">
        <v>14.6</v>
      </c>
      <c r="E1908" s="2">
        <v>18.399999999999999</v>
      </c>
      <c r="F1908" s="2">
        <v>10.8</v>
      </c>
      <c r="G1908" s="2">
        <v>0</v>
      </c>
      <c r="H1908" s="2" t="str">
        <f>VLOOKUP(A1908,Holidays!$A$2:$B$2107,2,1)</f>
        <v>Y</v>
      </c>
      <c r="I1908" s="2" t="str">
        <f>VLOOKUP(A1908,Holidays!$A$2:$C$2107,3,1)</f>
        <v>N</v>
      </c>
    </row>
    <row r="1909" spans="1:9" x14ac:dyDescent="0.45">
      <c r="A1909" s="1">
        <v>43912</v>
      </c>
      <c r="B1909">
        <v>97449.684999999998</v>
      </c>
      <c r="C1909">
        <v>34.618054800000003</v>
      </c>
      <c r="D1909" s="2">
        <v>12.1</v>
      </c>
      <c r="E1909" s="2">
        <v>18.3</v>
      </c>
      <c r="F1909" s="2">
        <v>15.2</v>
      </c>
      <c r="G1909" s="2">
        <v>0</v>
      </c>
      <c r="H1909" s="2" t="str">
        <f>VLOOKUP(A1909,Holidays!$A$2:$B$2107,2,1)</f>
        <v>Y</v>
      </c>
      <c r="I1909" s="2" t="str">
        <f>VLOOKUP(A1909,Holidays!$A$2:$C$2107,3,1)</f>
        <v>N</v>
      </c>
    </row>
    <row r="1910" spans="1:9" x14ac:dyDescent="0.45">
      <c r="A1910" s="1">
        <v>43913</v>
      </c>
      <c r="B1910">
        <v>112906.94500000001</v>
      </c>
      <c r="C1910">
        <v>44.639439000000003</v>
      </c>
      <c r="D1910" s="2">
        <v>12.7</v>
      </c>
      <c r="E1910" s="2">
        <v>17.100000000000001</v>
      </c>
      <c r="F1910" s="2">
        <v>9.9</v>
      </c>
      <c r="G1910" s="2">
        <v>0.4</v>
      </c>
      <c r="H1910" s="2" t="str">
        <f>VLOOKUP(A1910,Holidays!$A$2:$B$2107,2,1)</f>
        <v>Y</v>
      </c>
      <c r="I1910" s="2" t="str">
        <f>VLOOKUP(A1910,Holidays!$A$2:$C$2107,3,1)</f>
        <v>N</v>
      </c>
    </row>
    <row r="1911" spans="1:9" x14ac:dyDescent="0.45">
      <c r="A1911" s="1">
        <v>43914</v>
      </c>
      <c r="B1911">
        <v>114935.545</v>
      </c>
      <c r="C1911">
        <v>49.44768766</v>
      </c>
      <c r="D1911" s="2">
        <v>8.5</v>
      </c>
      <c r="E1911" s="2">
        <v>17.899999999999999</v>
      </c>
      <c r="F1911" s="2">
        <v>15.8</v>
      </c>
      <c r="G1911" s="2">
        <v>0</v>
      </c>
      <c r="H1911" s="2" t="str">
        <f>VLOOKUP(A1911,Holidays!$A$2:$B$2107,2,1)</f>
        <v>N</v>
      </c>
      <c r="I1911" s="2" t="str">
        <f>VLOOKUP(A1911,Holidays!$A$2:$C$2107,3,1)</f>
        <v>N</v>
      </c>
    </row>
    <row r="1912" spans="1:9" x14ac:dyDescent="0.45">
      <c r="A1912" s="1">
        <v>43915</v>
      </c>
      <c r="B1912">
        <v>113147.815</v>
      </c>
      <c r="C1912">
        <v>43.72083739</v>
      </c>
      <c r="D1912" s="2">
        <v>10.8</v>
      </c>
      <c r="E1912" s="2">
        <v>17.5</v>
      </c>
      <c r="F1912" s="2">
        <v>7.6</v>
      </c>
      <c r="G1912" s="2">
        <v>0</v>
      </c>
      <c r="H1912" s="2" t="str">
        <f>VLOOKUP(A1912,Holidays!$A$2:$B$2107,2,1)</f>
        <v>N</v>
      </c>
      <c r="I1912" s="2" t="str">
        <f>VLOOKUP(A1912,Holidays!$A$2:$C$2107,3,1)</f>
        <v>N</v>
      </c>
    </row>
    <row r="1913" spans="1:9" x14ac:dyDescent="0.45">
      <c r="A1913" s="1">
        <v>43916</v>
      </c>
      <c r="B1913">
        <v>110088.01</v>
      </c>
      <c r="C1913">
        <v>45.521245239999999</v>
      </c>
      <c r="D1913" s="2">
        <v>13.7</v>
      </c>
      <c r="E1913" s="2">
        <v>19.8</v>
      </c>
      <c r="F1913" s="2">
        <v>15.5</v>
      </c>
      <c r="G1913" s="2">
        <v>0</v>
      </c>
      <c r="H1913" s="2" t="str">
        <f>VLOOKUP(A1913,Holidays!$A$2:$B$2107,2,1)</f>
        <v>N</v>
      </c>
      <c r="I1913" s="2" t="str">
        <f>VLOOKUP(A1913,Holidays!$A$2:$C$2107,3,1)</f>
        <v>N</v>
      </c>
    </row>
    <row r="1914" spans="1:9" x14ac:dyDescent="0.45">
      <c r="A1914" s="1">
        <v>43917</v>
      </c>
      <c r="B1914">
        <v>111958.245</v>
      </c>
      <c r="C1914">
        <v>49.318500309999997</v>
      </c>
      <c r="D1914" s="2">
        <v>13.6</v>
      </c>
      <c r="E1914" s="2">
        <v>27.6</v>
      </c>
      <c r="F1914" s="2">
        <v>17.8</v>
      </c>
      <c r="G1914" s="2">
        <v>0</v>
      </c>
      <c r="H1914" s="2" t="str">
        <f>VLOOKUP(A1914,Holidays!$A$2:$B$2107,2,1)</f>
        <v>N</v>
      </c>
      <c r="I1914" s="2" t="str">
        <f>VLOOKUP(A1914,Holidays!$A$2:$C$2107,3,1)</f>
        <v>N</v>
      </c>
    </row>
    <row r="1915" spans="1:9" x14ac:dyDescent="0.45">
      <c r="A1915" s="1">
        <v>43918</v>
      </c>
      <c r="B1915">
        <v>97923.714999999997</v>
      </c>
      <c r="C1915">
        <v>47.963271040000002</v>
      </c>
      <c r="D1915" s="2">
        <v>14.8</v>
      </c>
      <c r="E1915" s="2">
        <v>27.5</v>
      </c>
      <c r="F1915" s="2">
        <v>16.899999999999999</v>
      </c>
      <c r="G1915" s="2">
        <v>0</v>
      </c>
      <c r="H1915" s="2" t="str">
        <f>VLOOKUP(A1915,Holidays!$A$2:$B$2107,2,1)</f>
        <v>N</v>
      </c>
      <c r="I1915" s="2" t="str">
        <f>VLOOKUP(A1915,Holidays!$A$2:$C$2107,3,1)</f>
        <v>N</v>
      </c>
    </row>
    <row r="1916" spans="1:9" x14ac:dyDescent="0.45">
      <c r="A1916" s="1">
        <v>43919</v>
      </c>
      <c r="B1916">
        <v>95953.205000000002</v>
      </c>
      <c r="C1916">
        <v>42.33862791</v>
      </c>
      <c r="D1916" s="2">
        <v>16.5</v>
      </c>
      <c r="E1916" s="2">
        <v>26.4</v>
      </c>
      <c r="F1916" s="2">
        <v>9.5</v>
      </c>
      <c r="G1916" s="2">
        <v>0</v>
      </c>
      <c r="H1916" s="2" t="str">
        <f>VLOOKUP(A1916,Holidays!$A$2:$B$2107,2,1)</f>
        <v>N</v>
      </c>
      <c r="I1916" s="2" t="str">
        <f>VLOOKUP(A1916,Holidays!$A$2:$C$2107,3,1)</f>
        <v>N</v>
      </c>
    </row>
    <row r="1917" spans="1:9" x14ac:dyDescent="0.45">
      <c r="A1917" s="1">
        <v>43920</v>
      </c>
      <c r="B1917">
        <v>107687.51</v>
      </c>
      <c r="C1917">
        <v>57.502975429999999</v>
      </c>
      <c r="D1917" s="2">
        <v>15.9</v>
      </c>
      <c r="E1917" s="2">
        <v>21.7</v>
      </c>
      <c r="F1917" s="2">
        <v>13.3</v>
      </c>
      <c r="G1917" s="2">
        <v>5.2</v>
      </c>
      <c r="H1917" s="2" t="str">
        <f>VLOOKUP(A1917,Holidays!$A$2:$B$2107,2,1)</f>
        <v>N</v>
      </c>
      <c r="I1917" s="2" t="str">
        <f>VLOOKUP(A1917,Holidays!$A$2:$C$2107,3,1)</f>
        <v>N</v>
      </c>
    </row>
    <row r="1918" spans="1:9" x14ac:dyDescent="0.45">
      <c r="A1918" s="1">
        <v>43921</v>
      </c>
      <c r="B1918">
        <v>109043.86500000001</v>
      </c>
      <c r="C1918">
        <v>57.690193069999999</v>
      </c>
      <c r="D1918" s="2">
        <v>12.2</v>
      </c>
      <c r="E1918" s="2">
        <v>21.4</v>
      </c>
      <c r="F1918" s="2">
        <v>16.899999999999999</v>
      </c>
      <c r="G1918" s="2">
        <v>0</v>
      </c>
      <c r="H1918" s="2" t="str">
        <f>VLOOKUP(A1918,Holidays!$A$2:$B$2107,2,1)</f>
        <v>N</v>
      </c>
      <c r="I1918" s="2" t="str">
        <f>VLOOKUP(A1918,Holidays!$A$2:$C$2107,3,1)</f>
        <v>N</v>
      </c>
    </row>
    <row r="1919" spans="1:9" x14ac:dyDescent="0.45">
      <c r="A1919" s="1">
        <v>43922</v>
      </c>
      <c r="B1919">
        <v>110991.625</v>
      </c>
      <c r="C1919">
        <v>62.967514510000001</v>
      </c>
      <c r="D1919" s="2">
        <v>11</v>
      </c>
      <c r="E1919" s="2">
        <v>23.1</v>
      </c>
      <c r="F1919" s="2">
        <v>15.2</v>
      </c>
      <c r="G1919" s="2">
        <v>0</v>
      </c>
      <c r="H1919" s="2" t="str">
        <f>VLOOKUP(A1919,Holidays!$A$2:$B$2107,2,1)</f>
        <v>N</v>
      </c>
      <c r="I1919" s="2" t="str">
        <f>VLOOKUP(A1919,Holidays!$A$2:$C$2107,3,1)</f>
        <v>N</v>
      </c>
    </row>
    <row r="1920" spans="1:9" x14ac:dyDescent="0.45">
      <c r="A1920" s="1">
        <v>43923</v>
      </c>
      <c r="B1920">
        <v>116302.66499999999</v>
      </c>
      <c r="C1920">
        <v>61.537019960000002</v>
      </c>
      <c r="D1920" s="2">
        <v>12.4</v>
      </c>
      <c r="E1920" s="2">
        <v>20.7</v>
      </c>
      <c r="F1920" s="2">
        <v>4.2</v>
      </c>
      <c r="G1920" s="2">
        <v>23</v>
      </c>
      <c r="H1920" s="2" t="str">
        <f>VLOOKUP(A1920,Holidays!$A$2:$B$2107,2,1)</f>
        <v>N</v>
      </c>
      <c r="I1920" s="2" t="str">
        <f>VLOOKUP(A1920,Holidays!$A$2:$C$2107,3,1)</f>
        <v>N</v>
      </c>
    </row>
    <row r="1921" spans="1:9" x14ac:dyDescent="0.45">
      <c r="A1921" s="1">
        <v>43924</v>
      </c>
      <c r="B1921">
        <v>104294.57</v>
      </c>
      <c r="C1921">
        <v>48.636778120000002</v>
      </c>
      <c r="D1921" s="2">
        <v>13.7</v>
      </c>
      <c r="E1921" s="2">
        <v>23.2</v>
      </c>
      <c r="F1921" s="2">
        <v>12</v>
      </c>
      <c r="G1921" s="2">
        <v>15.8</v>
      </c>
      <c r="H1921" s="2" t="str">
        <f>VLOOKUP(A1921,Holidays!$A$2:$B$2107,2,1)</f>
        <v>N</v>
      </c>
      <c r="I1921" s="2" t="str">
        <f>VLOOKUP(A1921,Holidays!$A$2:$C$2107,3,1)</f>
        <v>N</v>
      </c>
    </row>
    <row r="1922" spans="1:9" x14ac:dyDescent="0.45">
      <c r="A1922" s="1">
        <v>43925</v>
      </c>
      <c r="B1922">
        <v>101854.155</v>
      </c>
      <c r="C1922">
        <v>38.375968759999999</v>
      </c>
      <c r="D1922" s="2">
        <v>12.8</v>
      </c>
      <c r="E1922" s="2">
        <v>16.600000000000001</v>
      </c>
      <c r="F1922" s="2">
        <v>6.1</v>
      </c>
      <c r="G1922" s="2">
        <v>35.200000000000003</v>
      </c>
      <c r="H1922" s="2" t="str">
        <f>VLOOKUP(A1922,Holidays!$A$2:$B$2107,2,1)</f>
        <v>N</v>
      </c>
      <c r="I1922" s="2" t="str">
        <f>VLOOKUP(A1922,Holidays!$A$2:$C$2107,3,1)</f>
        <v>N</v>
      </c>
    </row>
    <row r="1923" spans="1:9" x14ac:dyDescent="0.45">
      <c r="A1923" s="1">
        <v>43926</v>
      </c>
      <c r="B1923">
        <v>105098.02499999999</v>
      </c>
      <c r="C1923">
        <v>23.78090796</v>
      </c>
      <c r="D1923" s="2">
        <v>9.5</v>
      </c>
      <c r="E1923" s="2">
        <v>16.899999999999999</v>
      </c>
      <c r="F1923" s="2">
        <v>4.5</v>
      </c>
      <c r="G1923" s="2">
        <v>4.4000000000000004</v>
      </c>
      <c r="H1923" s="2" t="str">
        <f>VLOOKUP(A1923,Holidays!$A$2:$B$2107,2,1)</f>
        <v>N</v>
      </c>
      <c r="I1923" s="2" t="str">
        <f>VLOOKUP(A1923,Holidays!$A$2:$C$2107,3,1)</f>
        <v>N</v>
      </c>
    </row>
    <row r="1924" spans="1:9" x14ac:dyDescent="0.45">
      <c r="A1924" s="1">
        <v>43927</v>
      </c>
      <c r="B1924">
        <v>118074.565</v>
      </c>
      <c r="C1924">
        <v>64.755851129999996</v>
      </c>
      <c r="D1924" s="2">
        <v>10.7</v>
      </c>
      <c r="E1924" s="2">
        <v>16.5</v>
      </c>
      <c r="F1924" s="2">
        <v>11.5</v>
      </c>
      <c r="G1924" s="2">
        <v>6.2</v>
      </c>
      <c r="H1924" s="2" t="str">
        <f>VLOOKUP(A1924,Holidays!$A$2:$B$2107,2,1)</f>
        <v>N</v>
      </c>
      <c r="I1924" s="2" t="str">
        <f>VLOOKUP(A1924,Holidays!$A$2:$C$2107,3,1)</f>
        <v>N</v>
      </c>
    </row>
    <row r="1925" spans="1:9" x14ac:dyDescent="0.45">
      <c r="A1925" s="1">
        <v>43928</v>
      </c>
      <c r="B1925">
        <v>118404.455</v>
      </c>
      <c r="C1925">
        <v>55.234382369999999</v>
      </c>
      <c r="D1925" s="2">
        <v>11.9</v>
      </c>
      <c r="E1925" s="2">
        <v>16.399999999999999</v>
      </c>
      <c r="F1925" s="2">
        <v>9.5</v>
      </c>
      <c r="G1925" s="2">
        <v>1.4</v>
      </c>
      <c r="H1925" s="2" t="str">
        <f>VLOOKUP(A1925,Holidays!$A$2:$B$2107,2,1)</f>
        <v>N</v>
      </c>
      <c r="I1925" s="2" t="str">
        <f>VLOOKUP(A1925,Holidays!$A$2:$C$2107,3,1)</f>
        <v>N</v>
      </c>
    </row>
    <row r="1926" spans="1:9" x14ac:dyDescent="0.45">
      <c r="A1926" s="1">
        <v>43929</v>
      </c>
      <c r="B1926">
        <v>108404.01</v>
      </c>
      <c r="C1926">
        <v>44.729397409999997</v>
      </c>
      <c r="D1926" s="2">
        <v>11.7</v>
      </c>
      <c r="E1926" s="2">
        <v>18.600000000000001</v>
      </c>
      <c r="F1926" s="2">
        <v>10.7</v>
      </c>
      <c r="G1926" s="2">
        <v>1.2</v>
      </c>
      <c r="H1926" s="2" t="str">
        <f>VLOOKUP(A1926,Holidays!$A$2:$B$2107,2,1)</f>
        <v>N</v>
      </c>
      <c r="I1926" s="2" t="str">
        <f>VLOOKUP(A1926,Holidays!$A$2:$C$2107,3,1)</f>
        <v>N</v>
      </c>
    </row>
    <row r="1927" spans="1:9" x14ac:dyDescent="0.45">
      <c r="A1927" s="1">
        <v>43930</v>
      </c>
      <c r="B1927">
        <v>108587.52</v>
      </c>
      <c r="C1927">
        <v>43.738044760000001</v>
      </c>
      <c r="D1927" s="2">
        <v>8.9</v>
      </c>
      <c r="E1927" s="2">
        <v>21.2</v>
      </c>
      <c r="F1927" s="2">
        <v>15.8</v>
      </c>
      <c r="G1927" s="2">
        <v>0</v>
      </c>
      <c r="H1927" s="2" t="str">
        <f>VLOOKUP(A1927,Holidays!$A$2:$B$2107,2,1)</f>
        <v>N</v>
      </c>
      <c r="I1927" s="2" t="str">
        <f>VLOOKUP(A1927,Holidays!$A$2:$C$2107,3,1)</f>
        <v>N</v>
      </c>
    </row>
    <row r="1928" spans="1:9" x14ac:dyDescent="0.45">
      <c r="A1928" s="1">
        <v>43931</v>
      </c>
      <c r="B1928">
        <v>94831.23</v>
      </c>
      <c r="C1928">
        <v>38.435506619999998</v>
      </c>
      <c r="D1928" s="2">
        <v>12.7</v>
      </c>
      <c r="E1928" s="2">
        <v>22</v>
      </c>
      <c r="F1928" s="2">
        <v>9.5</v>
      </c>
      <c r="G1928" s="2">
        <v>0.2</v>
      </c>
      <c r="H1928" s="2" t="str">
        <f>VLOOKUP(A1928,Holidays!$A$2:$B$2107,2,1)</f>
        <v>N</v>
      </c>
      <c r="I1928" s="2" t="str">
        <f>VLOOKUP(A1928,Holidays!$A$2:$C$2107,3,1)</f>
        <v>Y</v>
      </c>
    </row>
    <row r="1929" spans="1:9" x14ac:dyDescent="0.45">
      <c r="A1929" s="1">
        <v>43932</v>
      </c>
      <c r="B1929">
        <v>92097.07</v>
      </c>
      <c r="C1929">
        <v>19.934105580000001</v>
      </c>
      <c r="D1929" s="2">
        <v>13</v>
      </c>
      <c r="E1929" s="2">
        <v>15.7</v>
      </c>
      <c r="F1929" s="2">
        <v>11.3</v>
      </c>
      <c r="G1929" s="2">
        <v>2.4</v>
      </c>
      <c r="H1929" s="2" t="str">
        <f>VLOOKUP(A1929,Holidays!$A$2:$B$2107,2,1)</f>
        <v>N</v>
      </c>
      <c r="I1929" s="2" t="str">
        <f>VLOOKUP(A1929,Holidays!$A$2:$C$2107,3,1)</f>
        <v>Y</v>
      </c>
    </row>
    <row r="1930" spans="1:9" x14ac:dyDescent="0.45">
      <c r="A1930" s="1">
        <v>43933</v>
      </c>
      <c r="B1930">
        <v>101760.09</v>
      </c>
      <c r="C1930">
        <v>45.982052150000001</v>
      </c>
      <c r="D1930" s="2">
        <v>11</v>
      </c>
      <c r="E1930" s="2">
        <v>15.3</v>
      </c>
      <c r="F1930" s="2">
        <v>7.7</v>
      </c>
      <c r="G1930" s="2">
        <v>2.4</v>
      </c>
      <c r="H1930" s="2" t="str">
        <f>VLOOKUP(A1930,Holidays!$A$2:$B$2107,2,1)</f>
        <v>N</v>
      </c>
      <c r="I1930" s="2" t="str">
        <f>VLOOKUP(A1930,Holidays!$A$2:$C$2107,3,1)</f>
        <v>Y</v>
      </c>
    </row>
    <row r="1931" spans="1:9" x14ac:dyDescent="0.45">
      <c r="A1931" s="1">
        <v>43934</v>
      </c>
      <c r="B1931">
        <v>100025.9</v>
      </c>
      <c r="C1931">
        <v>56.657417019999997</v>
      </c>
      <c r="D1931" s="2">
        <v>12.2</v>
      </c>
      <c r="E1931" s="2">
        <v>18.3</v>
      </c>
      <c r="F1931" s="2">
        <v>14.3</v>
      </c>
      <c r="G1931" s="2">
        <v>0</v>
      </c>
      <c r="H1931" s="2" t="str">
        <f>VLOOKUP(A1931,Holidays!$A$2:$B$2107,2,1)</f>
        <v>N</v>
      </c>
      <c r="I1931" s="2" t="str">
        <f>VLOOKUP(A1931,Holidays!$A$2:$C$2107,3,1)</f>
        <v>Y</v>
      </c>
    </row>
    <row r="1932" spans="1:9" x14ac:dyDescent="0.45">
      <c r="A1932" s="1">
        <v>43935</v>
      </c>
      <c r="B1932">
        <v>107849.83</v>
      </c>
      <c r="C1932">
        <v>40.838553589999997</v>
      </c>
      <c r="D1932" s="2">
        <v>12.1</v>
      </c>
      <c r="E1932" s="2">
        <v>23.4</v>
      </c>
      <c r="F1932" s="2">
        <v>11.1</v>
      </c>
      <c r="G1932" s="2">
        <v>0.6</v>
      </c>
      <c r="H1932" s="2" t="str">
        <f>VLOOKUP(A1932,Holidays!$A$2:$B$2107,2,1)</f>
        <v>N</v>
      </c>
      <c r="I1932" s="2" t="str">
        <f>VLOOKUP(A1932,Holidays!$A$2:$C$2107,3,1)</f>
        <v>N</v>
      </c>
    </row>
    <row r="1933" spans="1:9" x14ac:dyDescent="0.45">
      <c r="A1933" s="1">
        <v>43936</v>
      </c>
      <c r="B1933">
        <v>104547.34</v>
      </c>
      <c r="C1933">
        <v>27.705995810000001</v>
      </c>
      <c r="D1933" s="2">
        <v>15.6</v>
      </c>
      <c r="E1933" s="2">
        <v>23.5</v>
      </c>
      <c r="F1933" s="2">
        <v>11.8</v>
      </c>
      <c r="G1933" s="2">
        <v>0</v>
      </c>
      <c r="H1933" s="2" t="str">
        <f>VLOOKUP(A1933,Holidays!$A$2:$B$2107,2,1)</f>
        <v>N</v>
      </c>
      <c r="I1933" s="2" t="str">
        <f>VLOOKUP(A1933,Holidays!$A$2:$C$2107,3,1)</f>
        <v>N</v>
      </c>
    </row>
    <row r="1934" spans="1:9" x14ac:dyDescent="0.45">
      <c r="A1934" s="1">
        <v>43937</v>
      </c>
      <c r="B1934">
        <v>106527.94500000001</v>
      </c>
      <c r="C1934">
        <v>29.80144816</v>
      </c>
      <c r="D1934" s="2">
        <v>15.4</v>
      </c>
      <c r="E1934" s="2">
        <v>21.5</v>
      </c>
      <c r="F1934" s="2">
        <v>11.3</v>
      </c>
      <c r="G1934" s="2">
        <v>0.2</v>
      </c>
      <c r="H1934" s="2" t="str">
        <f>VLOOKUP(A1934,Holidays!$A$2:$B$2107,2,1)</f>
        <v>N</v>
      </c>
      <c r="I1934" s="2" t="str">
        <f>VLOOKUP(A1934,Holidays!$A$2:$C$2107,3,1)</f>
        <v>N</v>
      </c>
    </row>
    <row r="1935" spans="1:9" x14ac:dyDescent="0.45">
      <c r="A1935" s="1">
        <v>43938</v>
      </c>
      <c r="B1935">
        <v>106943.49</v>
      </c>
      <c r="C1935">
        <v>30.782703059999999</v>
      </c>
      <c r="D1935" s="2">
        <v>11.4</v>
      </c>
      <c r="E1935" s="2">
        <v>18.399999999999999</v>
      </c>
      <c r="F1935" s="2">
        <v>10.1</v>
      </c>
      <c r="G1935" s="2">
        <v>0</v>
      </c>
      <c r="H1935" s="2" t="str">
        <f>VLOOKUP(A1935,Holidays!$A$2:$B$2107,2,1)</f>
        <v>N</v>
      </c>
      <c r="I1935" s="2" t="str">
        <f>VLOOKUP(A1935,Holidays!$A$2:$C$2107,3,1)</f>
        <v>N</v>
      </c>
    </row>
    <row r="1936" spans="1:9" x14ac:dyDescent="0.45">
      <c r="A1936" s="1">
        <v>43939</v>
      </c>
      <c r="B1936">
        <v>106888.545</v>
      </c>
      <c r="C1936">
        <v>42.660865000000001</v>
      </c>
      <c r="D1936" s="2">
        <v>12.9</v>
      </c>
      <c r="E1936" s="2">
        <v>16.399999999999999</v>
      </c>
      <c r="F1936" s="2">
        <v>7.9</v>
      </c>
      <c r="G1936" s="2">
        <v>0</v>
      </c>
      <c r="H1936" s="2" t="str">
        <f>VLOOKUP(A1936,Holidays!$A$2:$B$2107,2,1)</f>
        <v>N</v>
      </c>
      <c r="I1936" s="2" t="str">
        <f>VLOOKUP(A1936,Holidays!$A$2:$C$2107,3,1)</f>
        <v>N</v>
      </c>
    </row>
    <row r="1937" spans="1:9" x14ac:dyDescent="0.45">
      <c r="A1937" s="1">
        <v>43940</v>
      </c>
      <c r="B1937">
        <v>100737.83500000001</v>
      </c>
      <c r="C1937">
        <v>35.703490809999998</v>
      </c>
      <c r="D1937" s="2">
        <v>11.2</v>
      </c>
      <c r="E1937" s="2">
        <v>19.399999999999999</v>
      </c>
      <c r="F1937" s="2">
        <v>11.3</v>
      </c>
      <c r="G1937" s="2">
        <v>0</v>
      </c>
      <c r="H1937" s="2" t="str">
        <f>VLOOKUP(A1937,Holidays!$A$2:$B$2107,2,1)</f>
        <v>N</v>
      </c>
      <c r="I1937" s="2" t="str">
        <f>VLOOKUP(A1937,Holidays!$A$2:$C$2107,3,1)</f>
        <v>N</v>
      </c>
    </row>
    <row r="1938" spans="1:9" x14ac:dyDescent="0.45">
      <c r="A1938" s="1">
        <v>43941</v>
      </c>
      <c r="B1938">
        <v>109168.595</v>
      </c>
      <c r="C1938">
        <v>25.61588931</v>
      </c>
      <c r="D1938" s="2">
        <v>12</v>
      </c>
      <c r="E1938" s="2">
        <v>20.8</v>
      </c>
      <c r="F1938" s="2">
        <v>8.1</v>
      </c>
      <c r="G1938" s="2">
        <v>3.4</v>
      </c>
      <c r="H1938" s="2" t="str">
        <f>VLOOKUP(A1938,Holidays!$A$2:$B$2107,2,1)</f>
        <v>N</v>
      </c>
      <c r="I1938" s="2" t="str">
        <f>VLOOKUP(A1938,Holidays!$A$2:$C$2107,3,1)</f>
        <v>N</v>
      </c>
    </row>
    <row r="1939" spans="1:9" x14ac:dyDescent="0.45">
      <c r="A1939" s="1">
        <v>43942</v>
      </c>
      <c r="B1939">
        <v>111417.63</v>
      </c>
      <c r="C1939">
        <v>33.035885159999999</v>
      </c>
      <c r="D1939" s="2">
        <v>8.5</v>
      </c>
      <c r="E1939" s="2">
        <v>19.600000000000001</v>
      </c>
      <c r="F1939" s="2">
        <v>9.8000000000000007</v>
      </c>
      <c r="G1939" s="2">
        <v>0</v>
      </c>
      <c r="H1939" s="2" t="str">
        <f>VLOOKUP(A1939,Holidays!$A$2:$B$2107,2,1)</f>
        <v>N</v>
      </c>
      <c r="I1939" s="2" t="str">
        <f>VLOOKUP(A1939,Holidays!$A$2:$C$2107,3,1)</f>
        <v>N</v>
      </c>
    </row>
    <row r="1940" spans="1:9" x14ac:dyDescent="0.45">
      <c r="A1940" s="1">
        <v>43943</v>
      </c>
      <c r="B1940">
        <v>113506.01</v>
      </c>
      <c r="C1940">
        <v>37.881751569999999</v>
      </c>
      <c r="D1940" s="2">
        <v>12.8</v>
      </c>
      <c r="E1940" s="2">
        <v>18.2</v>
      </c>
      <c r="F1940" s="2">
        <v>8.8000000000000007</v>
      </c>
      <c r="G1940" s="2">
        <v>0</v>
      </c>
      <c r="H1940" s="2" t="str">
        <f>VLOOKUP(A1940,Holidays!$A$2:$B$2107,2,1)</f>
        <v>N</v>
      </c>
      <c r="I1940" s="2" t="str">
        <f>VLOOKUP(A1940,Holidays!$A$2:$C$2107,3,1)</f>
        <v>N</v>
      </c>
    </row>
    <row r="1941" spans="1:9" x14ac:dyDescent="0.45">
      <c r="A1941" s="1">
        <v>43944</v>
      </c>
      <c r="B1941">
        <v>112872.88</v>
      </c>
      <c r="C1941">
        <v>20.49660012</v>
      </c>
      <c r="D1941" s="2">
        <v>9.6</v>
      </c>
      <c r="E1941" s="2">
        <v>19.7</v>
      </c>
      <c r="F1941" s="2">
        <v>9.6999999999999993</v>
      </c>
      <c r="G1941" s="2">
        <v>0</v>
      </c>
      <c r="H1941" s="2" t="str">
        <f>VLOOKUP(A1941,Holidays!$A$2:$B$2107,2,1)</f>
        <v>N</v>
      </c>
      <c r="I1941" s="2" t="str">
        <f>VLOOKUP(A1941,Holidays!$A$2:$C$2107,3,1)</f>
        <v>N</v>
      </c>
    </row>
    <row r="1942" spans="1:9" x14ac:dyDescent="0.45">
      <c r="A1942" s="1">
        <v>43945</v>
      </c>
      <c r="B1942">
        <v>106565.295</v>
      </c>
      <c r="C1942">
        <v>26.641180070000001</v>
      </c>
      <c r="D1942" s="2">
        <v>15.1</v>
      </c>
      <c r="E1942" s="2">
        <v>22.3</v>
      </c>
      <c r="F1942" s="2">
        <v>12.7</v>
      </c>
      <c r="G1942" s="2">
        <v>0.4</v>
      </c>
      <c r="H1942" s="2" t="str">
        <f>VLOOKUP(A1942,Holidays!$A$2:$B$2107,2,1)</f>
        <v>N</v>
      </c>
      <c r="I1942" s="2" t="str">
        <f>VLOOKUP(A1942,Holidays!$A$2:$C$2107,3,1)</f>
        <v>N</v>
      </c>
    </row>
    <row r="1943" spans="1:9" x14ac:dyDescent="0.45">
      <c r="A1943" s="1">
        <v>43946</v>
      </c>
      <c r="B1943">
        <v>96845.119999999995</v>
      </c>
      <c r="C1943">
        <v>17.640174080000001</v>
      </c>
      <c r="D1943" s="2">
        <v>10.5</v>
      </c>
      <c r="E1943" s="2">
        <v>21.7</v>
      </c>
      <c r="F1943" s="2">
        <v>10.4</v>
      </c>
      <c r="G1943" s="2">
        <v>0</v>
      </c>
      <c r="H1943" s="2" t="str">
        <f>VLOOKUP(A1943,Holidays!$A$2:$B$2107,2,1)</f>
        <v>N</v>
      </c>
      <c r="I1943" s="2" t="str">
        <f>VLOOKUP(A1943,Holidays!$A$2:$C$2107,3,1)</f>
        <v>Y</v>
      </c>
    </row>
    <row r="1944" spans="1:9" x14ac:dyDescent="0.45">
      <c r="A1944" s="1">
        <v>43947</v>
      </c>
      <c r="B1944">
        <v>96572.934999999998</v>
      </c>
      <c r="C1944">
        <v>13.563055800000001</v>
      </c>
      <c r="D1944" s="2">
        <v>15.4</v>
      </c>
      <c r="E1944" s="2">
        <v>17.7</v>
      </c>
      <c r="F1944" s="2">
        <v>6.6</v>
      </c>
      <c r="G1944" s="2">
        <v>14</v>
      </c>
      <c r="H1944" s="2" t="str">
        <f>VLOOKUP(A1944,Holidays!$A$2:$B$2107,2,1)</f>
        <v>N</v>
      </c>
      <c r="I1944" s="2" t="str">
        <f>VLOOKUP(A1944,Holidays!$A$2:$C$2107,3,1)</f>
        <v>N</v>
      </c>
    </row>
    <row r="1945" spans="1:9" x14ac:dyDescent="0.45">
      <c r="A1945" s="1">
        <v>43948</v>
      </c>
      <c r="B1945">
        <v>113471.83</v>
      </c>
      <c r="C1945">
        <v>33.031410970000003</v>
      </c>
      <c r="D1945" s="2">
        <v>8.1</v>
      </c>
      <c r="E1945" s="2">
        <v>18.100000000000001</v>
      </c>
      <c r="F1945" s="2">
        <v>12.5</v>
      </c>
      <c r="G1945" s="2">
        <v>0.6</v>
      </c>
      <c r="H1945" s="2" t="str">
        <f>VLOOKUP(A1945,Holidays!$A$2:$B$2107,2,1)</f>
        <v>N</v>
      </c>
      <c r="I1945" s="2" t="str">
        <f>VLOOKUP(A1945,Holidays!$A$2:$C$2107,3,1)</f>
        <v>N</v>
      </c>
    </row>
    <row r="1946" spans="1:9" x14ac:dyDescent="0.45">
      <c r="A1946" s="1">
        <v>43949</v>
      </c>
      <c r="B1946">
        <v>112124.06</v>
      </c>
      <c r="C1946">
        <v>19.566687859999998</v>
      </c>
      <c r="D1946" s="2">
        <v>7.1</v>
      </c>
      <c r="E1946" s="2">
        <v>18.899999999999999</v>
      </c>
      <c r="F1946" s="2">
        <v>10.4</v>
      </c>
      <c r="G1946" s="2">
        <v>0</v>
      </c>
      <c r="H1946" s="2" t="str">
        <f>VLOOKUP(A1946,Holidays!$A$2:$B$2107,2,1)</f>
        <v>N</v>
      </c>
      <c r="I1946" s="2" t="str">
        <f>VLOOKUP(A1946,Holidays!$A$2:$C$2107,3,1)</f>
        <v>N</v>
      </c>
    </row>
    <row r="1947" spans="1:9" x14ac:dyDescent="0.45">
      <c r="A1947" s="1">
        <v>43950</v>
      </c>
      <c r="B1947">
        <v>121307.84</v>
      </c>
      <c r="C1947">
        <v>32.265191100000003</v>
      </c>
      <c r="D1947" s="2">
        <v>11.2</v>
      </c>
      <c r="E1947" s="2">
        <v>19.8</v>
      </c>
      <c r="F1947" s="2">
        <v>3.6</v>
      </c>
      <c r="G1947" s="2">
        <v>3.4</v>
      </c>
      <c r="H1947" s="2" t="str">
        <f>VLOOKUP(A1947,Holidays!$A$2:$B$2107,2,1)</f>
        <v>N</v>
      </c>
      <c r="I1947" s="2" t="str">
        <f>VLOOKUP(A1947,Holidays!$A$2:$C$2107,3,1)</f>
        <v>N</v>
      </c>
    </row>
    <row r="1948" spans="1:9" x14ac:dyDescent="0.45">
      <c r="A1948" s="1">
        <v>43951</v>
      </c>
      <c r="B1948">
        <v>121353.33</v>
      </c>
      <c r="C1948">
        <v>30.41346278</v>
      </c>
      <c r="D1948" s="2">
        <v>8.9</v>
      </c>
      <c r="E1948" s="2">
        <v>15.5</v>
      </c>
      <c r="F1948" s="2">
        <v>5.4</v>
      </c>
      <c r="G1948" s="2">
        <v>23.6</v>
      </c>
      <c r="H1948" s="2" t="str">
        <f>VLOOKUP(A1948,Holidays!$A$2:$B$2107,2,1)</f>
        <v>N</v>
      </c>
      <c r="I1948" s="2" t="str">
        <f>VLOOKUP(A1948,Holidays!$A$2:$C$2107,3,1)</f>
        <v>N</v>
      </c>
    </row>
    <row r="1949" spans="1:9" x14ac:dyDescent="0.45">
      <c r="A1949" s="1">
        <v>43952</v>
      </c>
      <c r="B1949">
        <v>127238.875</v>
      </c>
      <c r="C1949">
        <v>24.122816870000001</v>
      </c>
      <c r="D1949" s="2">
        <v>7.6</v>
      </c>
      <c r="E1949" s="2">
        <v>13</v>
      </c>
      <c r="F1949" s="2">
        <v>5.0999999999999996</v>
      </c>
      <c r="G1949" s="2">
        <v>8</v>
      </c>
      <c r="H1949" s="2" t="str">
        <f>VLOOKUP(A1949,Holidays!$A$2:$B$2107,2,1)</f>
        <v>N</v>
      </c>
      <c r="I1949" s="2" t="str">
        <f>VLOOKUP(A1949,Holidays!$A$2:$C$2107,3,1)</f>
        <v>N</v>
      </c>
    </row>
    <row r="1950" spans="1:9" x14ac:dyDescent="0.45">
      <c r="A1950" s="1">
        <v>43953</v>
      </c>
      <c r="B1950">
        <v>111665.72500000001</v>
      </c>
      <c r="C1950">
        <v>22.875644019999999</v>
      </c>
      <c r="D1950" s="2">
        <v>8.3000000000000007</v>
      </c>
      <c r="E1950" s="2">
        <v>14.2</v>
      </c>
      <c r="F1950" s="2">
        <v>6.2</v>
      </c>
      <c r="G1950" s="2">
        <v>1.4</v>
      </c>
      <c r="H1950" s="2" t="str">
        <f>VLOOKUP(A1950,Holidays!$A$2:$B$2107,2,1)</f>
        <v>N</v>
      </c>
      <c r="I1950" s="2" t="str">
        <f>VLOOKUP(A1950,Holidays!$A$2:$C$2107,3,1)</f>
        <v>N</v>
      </c>
    </row>
    <row r="1951" spans="1:9" x14ac:dyDescent="0.45">
      <c r="A1951" s="1">
        <v>43954</v>
      </c>
      <c r="B1951">
        <v>109669.355</v>
      </c>
      <c r="C1951">
        <v>36.488532380000002</v>
      </c>
      <c r="D1951" s="2">
        <v>9.8000000000000007</v>
      </c>
      <c r="E1951" s="2">
        <v>15</v>
      </c>
      <c r="F1951" s="2">
        <v>8.3000000000000007</v>
      </c>
      <c r="G1951" s="2">
        <v>1.8</v>
      </c>
      <c r="H1951" s="2" t="str">
        <f>VLOOKUP(A1951,Holidays!$A$2:$B$2107,2,1)</f>
        <v>N</v>
      </c>
      <c r="I1951" s="2" t="str">
        <f>VLOOKUP(A1951,Holidays!$A$2:$C$2107,3,1)</f>
        <v>N</v>
      </c>
    </row>
    <row r="1952" spans="1:9" x14ac:dyDescent="0.45">
      <c r="A1952" s="1">
        <v>43955</v>
      </c>
      <c r="B1952">
        <v>126892.26</v>
      </c>
      <c r="C1952">
        <v>53.063440780000001</v>
      </c>
      <c r="D1952" s="2">
        <v>9.4</v>
      </c>
      <c r="E1952" s="2">
        <v>14.8</v>
      </c>
      <c r="F1952" s="2">
        <v>7</v>
      </c>
      <c r="G1952" s="2">
        <v>0.2</v>
      </c>
      <c r="H1952" s="2" t="str">
        <f>VLOOKUP(A1952,Holidays!$A$2:$B$2107,2,1)</f>
        <v>N</v>
      </c>
      <c r="I1952" s="2" t="str">
        <f>VLOOKUP(A1952,Holidays!$A$2:$C$2107,3,1)</f>
        <v>N</v>
      </c>
    </row>
    <row r="1953" spans="1:9" x14ac:dyDescent="0.45">
      <c r="A1953" s="1">
        <v>43956</v>
      </c>
      <c r="B1953">
        <v>118839.095</v>
      </c>
      <c r="C1953">
        <v>33.515699840000003</v>
      </c>
      <c r="D1953" s="2">
        <v>8</v>
      </c>
      <c r="E1953" s="2">
        <v>19.5</v>
      </c>
      <c r="F1953" s="2">
        <v>11.6</v>
      </c>
      <c r="G1953" s="2">
        <v>0.4</v>
      </c>
      <c r="H1953" s="2" t="str">
        <f>VLOOKUP(A1953,Holidays!$A$2:$B$2107,2,1)</f>
        <v>N</v>
      </c>
      <c r="I1953" s="2" t="str">
        <f>VLOOKUP(A1953,Holidays!$A$2:$C$2107,3,1)</f>
        <v>N</v>
      </c>
    </row>
    <row r="1954" spans="1:9" x14ac:dyDescent="0.45">
      <c r="A1954" s="1">
        <v>43957</v>
      </c>
      <c r="B1954">
        <v>113214.27</v>
      </c>
      <c r="C1954">
        <v>17.064877800000001</v>
      </c>
      <c r="D1954" s="2">
        <v>10.199999999999999</v>
      </c>
      <c r="E1954" s="2">
        <v>20.100000000000001</v>
      </c>
      <c r="F1954" s="2">
        <v>9.6999999999999993</v>
      </c>
      <c r="G1954" s="2">
        <v>0</v>
      </c>
      <c r="H1954" s="2" t="str">
        <f>VLOOKUP(A1954,Holidays!$A$2:$B$2107,2,1)</f>
        <v>N</v>
      </c>
      <c r="I1954" s="2" t="str">
        <f>VLOOKUP(A1954,Holidays!$A$2:$C$2107,3,1)</f>
        <v>N</v>
      </c>
    </row>
    <row r="1955" spans="1:9" x14ac:dyDescent="0.45">
      <c r="A1955" s="1">
        <v>43958</v>
      </c>
      <c r="B1955">
        <v>109642.755</v>
      </c>
      <c r="C1955">
        <v>15.237901519999999</v>
      </c>
      <c r="D1955" s="2">
        <v>15.1</v>
      </c>
      <c r="E1955" s="2">
        <v>21.1</v>
      </c>
      <c r="F1955" s="2">
        <v>6.2</v>
      </c>
      <c r="G1955" s="2">
        <v>0</v>
      </c>
      <c r="H1955" s="2" t="str">
        <f>VLOOKUP(A1955,Holidays!$A$2:$B$2107,2,1)</f>
        <v>N</v>
      </c>
      <c r="I1955" s="2" t="str">
        <f>VLOOKUP(A1955,Holidays!$A$2:$C$2107,3,1)</f>
        <v>N</v>
      </c>
    </row>
    <row r="1956" spans="1:9" x14ac:dyDescent="0.45">
      <c r="A1956" s="1">
        <v>43959</v>
      </c>
      <c r="B1956">
        <v>107914.05499999999</v>
      </c>
      <c r="C1956">
        <v>30.698219210000001</v>
      </c>
      <c r="D1956" s="2">
        <v>12.6</v>
      </c>
      <c r="E1956" s="2">
        <v>19.600000000000001</v>
      </c>
      <c r="F1956" s="2">
        <v>10.7</v>
      </c>
      <c r="G1956" s="2">
        <v>0</v>
      </c>
      <c r="H1956" s="2" t="str">
        <f>VLOOKUP(A1956,Holidays!$A$2:$B$2107,2,1)</f>
        <v>N</v>
      </c>
      <c r="I1956" s="2" t="str">
        <f>VLOOKUP(A1956,Holidays!$A$2:$C$2107,3,1)</f>
        <v>N</v>
      </c>
    </row>
    <row r="1957" spans="1:9" x14ac:dyDescent="0.45">
      <c r="A1957" s="1">
        <v>43960</v>
      </c>
      <c r="B1957">
        <v>107786.255</v>
      </c>
      <c r="C1957">
        <v>22.461551329999999</v>
      </c>
      <c r="D1957" s="2">
        <v>12.6</v>
      </c>
      <c r="E1957" s="2">
        <v>14</v>
      </c>
      <c r="F1957" s="2">
        <v>5.4</v>
      </c>
      <c r="G1957" s="2">
        <v>0.6</v>
      </c>
      <c r="H1957" s="2" t="str">
        <f>VLOOKUP(A1957,Holidays!$A$2:$B$2107,2,1)</f>
        <v>N</v>
      </c>
      <c r="I1957" s="2" t="str">
        <f>VLOOKUP(A1957,Holidays!$A$2:$C$2107,3,1)</f>
        <v>N</v>
      </c>
    </row>
    <row r="1958" spans="1:9" x14ac:dyDescent="0.45">
      <c r="A1958" s="1">
        <v>43961</v>
      </c>
      <c r="B1958">
        <v>107555.19</v>
      </c>
      <c r="C1958">
        <v>36.456396259999998</v>
      </c>
      <c r="D1958" s="2">
        <v>7.2</v>
      </c>
      <c r="E1958" s="2">
        <v>14.5</v>
      </c>
      <c r="F1958" s="2">
        <v>9</v>
      </c>
      <c r="G1958" s="2">
        <v>7</v>
      </c>
      <c r="H1958" s="2" t="str">
        <f>VLOOKUP(A1958,Holidays!$A$2:$B$2107,2,1)</f>
        <v>N</v>
      </c>
      <c r="I1958" s="2" t="str">
        <f>VLOOKUP(A1958,Holidays!$A$2:$C$2107,3,1)</f>
        <v>N</v>
      </c>
    </row>
    <row r="1959" spans="1:9" x14ac:dyDescent="0.45">
      <c r="A1959" s="1">
        <v>43962</v>
      </c>
      <c r="B1959">
        <v>122550.94500000001</v>
      </c>
      <c r="C1959">
        <v>37.85789836</v>
      </c>
      <c r="D1959" s="2">
        <v>7.8</v>
      </c>
      <c r="E1959" s="2">
        <v>17.100000000000001</v>
      </c>
      <c r="F1959" s="2">
        <v>7.5</v>
      </c>
      <c r="G1959" s="2">
        <v>0.6</v>
      </c>
      <c r="H1959" s="2" t="str">
        <f>VLOOKUP(A1959,Holidays!$A$2:$B$2107,2,1)</f>
        <v>N</v>
      </c>
      <c r="I1959" s="2" t="str">
        <f>VLOOKUP(A1959,Holidays!$A$2:$C$2107,3,1)</f>
        <v>N</v>
      </c>
    </row>
    <row r="1960" spans="1:9" x14ac:dyDescent="0.45">
      <c r="A1960" s="1">
        <v>43963</v>
      </c>
      <c r="B1960">
        <v>120767.795</v>
      </c>
      <c r="C1960">
        <v>29.433623390000001</v>
      </c>
      <c r="D1960" s="2">
        <v>10.3</v>
      </c>
      <c r="E1960" s="2">
        <v>14.8</v>
      </c>
      <c r="F1960" s="2">
        <v>8.5</v>
      </c>
      <c r="G1960" s="2">
        <v>0.2</v>
      </c>
      <c r="H1960" s="2" t="str">
        <f>VLOOKUP(A1960,Holidays!$A$2:$B$2107,2,1)</f>
        <v>N</v>
      </c>
      <c r="I1960" s="2" t="str">
        <f>VLOOKUP(A1960,Holidays!$A$2:$C$2107,3,1)</f>
        <v>N</v>
      </c>
    </row>
    <row r="1961" spans="1:9" x14ac:dyDescent="0.45">
      <c r="A1961" s="1">
        <v>43964</v>
      </c>
      <c r="B1961">
        <v>127145.14</v>
      </c>
      <c r="C1961">
        <v>43.43886852</v>
      </c>
      <c r="D1961" s="2">
        <v>10.4</v>
      </c>
      <c r="E1961" s="2">
        <v>14.5</v>
      </c>
      <c r="F1961" s="2">
        <v>8.9</v>
      </c>
      <c r="G1961" s="2">
        <v>1.4</v>
      </c>
      <c r="H1961" s="2" t="str">
        <f>VLOOKUP(A1961,Holidays!$A$2:$B$2107,2,1)</f>
        <v>N</v>
      </c>
      <c r="I1961" s="2" t="str">
        <f>VLOOKUP(A1961,Holidays!$A$2:$C$2107,3,1)</f>
        <v>N</v>
      </c>
    </row>
    <row r="1962" spans="1:9" x14ac:dyDescent="0.45">
      <c r="A1962" s="1">
        <v>43965</v>
      </c>
      <c r="B1962">
        <v>129285.09</v>
      </c>
      <c r="C1962">
        <v>48.118726070000001</v>
      </c>
      <c r="D1962" s="2">
        <v>6.6</v>
      </c>
      <c r="E1962" s="2">
        <v>14.7</v>
      </c>
      <c r="F1962" s="2">
        <v>9.8000000000000007</v>
      </c>
      <c r="G1962" s="2">
        <v>2.8</v>
      </c>
      <c r="H1962" s="2" t="str">
        <f>VLOOKUP(A1962,Holidays!$A$2:$B$2107,2,1)</f>
        <v>N</v>
      </c>
      <c r="I1962" s="2" t="str">
        <f>VLOOKUP(A1962,Holidays!$A$2:$C$2107,3,1)</f>
        <v>N</v>
      </c>
    </row>
    <row r="1963" spans="1:9" x14ac:dyDescent="0.45">
      <c r="A1963" s="1">
        <v>43966</v>
      </c>
      <c r="B1963">
        <v>129112.45</v>
      </c>
      <c r="C1963">
        <v>51.077775019999997</v>
      </c>
      <c r="D1963" s="2">
        <v>4.5</v>
      </c>
      <c r="E1963" s="2">
        <v>15.3</v>
      </c>
      <c r="F1963" s="2">
        <v>10.8</v>
      </c>
      <c r="G1963" s="2">
        <v>0</v>
      </c>
      <c r="H1963" s="2" t="str">
        <f>VLOOKUP(A1963,Holidays!$A$2:$B$2107,2,1)</f>
        <v>N</v>
      </c>
      <c r="I1963" s="2" t="str">
        <f>VLOOKUP(A1963,Holidays!$A$2:$C$2107,3,1)</f>
        <v>N</v>
      </c>
    </row>
    <row r="1964" spans="1:9" x14ac:dyDescent="0.45">
      <c r="A1964" s="1">
        <v>43967</v>
      </c>
      <c r="B1964">
        <v>110420.89</v>
      </c>
      <c r="C1964">
        <v>46.529095040000001</v>
      </c>
      <c r="D1964" s="2">
        <v>4.5</v>
      </c>
      <c r="E1964" s="2">
        <v>18</v>
      </c>
      <c r="F1964" s="2">
        <v>10.7</v>
      </c>
      <c r="G1964" s="2">
        <v>0</v>
      </c>
      <c r="H1964" s="2" t="str">
        <f>VLOOKUP(A1964,Holidays!$A$2:$B$2107,2,1)</f>
        <v>N</v>
      </c>
      <c r="I1964" s="2" t="str">
        <f>VLOOKUP(A1964,Holidays!$A$2:$C$2107,3,1)</f>
        <v>N</v>
      </c>
    </row>
    <row r="1965" spans="1:9" x14ac:dyDescent="0.45">
      <c r="A1965" s="1">
        <v>43968</v>
      </c>
      <c r="B1965">
        <v>109774.425</v>
      </c>
      <c r="C1965">
        <v>47.157281560000001</v>
      </c>
      <c r="D1965" s="2">
        <v>5.0999999999999996</v>
      </c>
      <c r="E1965" s="2">
        <v>18.5</v>
      </c>
      <c r="F1965" s="2">
        <v>10.6</v>
      </c>
      <c r="G1965" s="2">
        <v>0</v>
      </c>
      <c r="H1965" s="2" t="str">
        <f>VLOOKUP(A1965,Holidays!$A$2:$B$2107,2,1)</f>
        <v>N</v>
      </c>
      <c r="I1965" s="2" t="str">
        <f>VLOOKUP(A1965,Holidays!$A$2:$C$2107,3,1)</f>
        <v>N</v>
      </c>
    </row>
    <row r="1966" spans="1:9" x14ac:dyDescent="0.45">
      <c r="A1966" s="1">
        <v>43969</v>
      </c>
      <c r="B1966">
        <v>120076.645</v>
      </c>
      <c r="C1966">
        <v>44.491085740000003</v>
      </c>
      <c r="D1966" s="2">
        <v>5.5</v>
      </c>
      <c r="E1966" s="2">
        <v>19.399999999999999</v>
      </c>
      <c r="F1966" s="2">
        <v>10.5</v>
      </c>
      <c r="G1966" s="2">
        <v>0</v>
      </c>
      <c r="H1966" s="2" t="str">
        <f>VLOOKUP(A1966,Holidays!$A$2:$B$2107,2,1)</f>
        <v>N</v>
      </c>
      <c r="I1966" s="2" t="str">
        <f>VLOOKUP(A1966,Holidays!$A$2:$C$2107,3,1)</f>
        <v>N</v>
      </c>
    </row>
    <row r="1967" spans="1:9" x14ac:dyDescent="0.45">
      <c r="A1967" s="1">
        <v>43970</v>
      </c>
      <c r="B1967">
        <v>119789.97</v>
      </c>
      <c r="C1967">
        <v>44.374805960000003</v>
      </c>
      <c r="D1967" s="2">
        <v>8.1</v>
      </c>
      <c r="E1967" s="2">
        <v>17.7</v>
      </c>
      <c r="F1967" s="2">
        <v>4.9000000000000004</v>
      </c>
      <c r="G1967" s="2">
        <v>0</v>
      </c>
      <c r="H1967" s="2" t="str">
        <f>VLOOKUP(A1967,Holidays!$A$2:$B$2107,2,1)</f>
        <v>N</v>
      </c>
      <c r="I1967" s="2" t="str">
        <f>VLOOKUP(A1967,Holidays!$A$2:$C$2107,3,1)</f>
        <v>N</v>
      </c>
    </row>
    <row r="1968" spans="1:9" x14ac:dyDescent="0.45">
      <c r="A1968" s="1">
        <v>43971</v>
      </c>
      <c r="B1968">
        <v>119803.985</v>
      </c>
      <c r="C1968">
        <v>40.056890670000001</v>
      </c>
      <c r="D1968" s="2">
        <v>10.3</v>
      </c>
      <c r="E1968" s="2">
        <v>15.8</v>
      </c>
      <c r="F1968" s="2">
        <v>7.8</v>
      </c>
      <c r="G1968" s="2">
        <v>15.6</v>
      </c>
      <c r="H1968" s="2" t="str">
        <f>VLOOKUP(A1968,Holidays!$A$2:$B$2107,2,1)</f>
        <v>N</v>
      </c>
      <c r="I1968" s="2" t="str">
        <f>VLOOKUP(A1968,Holidays!$A$2:$C$2107,3,1)</f>
        <v>N</v>
      </c>
    </row>
    <row r="1969" spans="1:9" x14ac:dyDescent="0.45">
      <c r="A1969" s="1">
        <v>43972</v>
      </c>
      <c r="B1969">
        <v>127563.61</v>
      </c>
      <c r="C1969">
        <v>58.074876109999998</v>
      </c>
      <c r="D1969" s="2">
        <v>9.4</v>
      </c>
      <c r="E1969" s="2">
        <v>13.7</v>
      </c>
      <c r="F1969" s="2">
        <v>6.6</v>
      </c>
      <c r="G1969" s="2">
        <v>12.4</v>
      </c>
      <c r="H1969" s="2" t="str">
        <f>VLOOKUP(A1969,Holidays!$A$2:$B$2107,2,1)</f>
        <v>N</v>
      </c>
      <c r="I1969" s="2" t="str">
        <f>VLOOKUP(A1969,Holidays!$A$2:$C$2107,3,1)</f>
        <v>N</v>
      </c>
    </row>
    <row r="1970" spans="1:9" x14ac:dyDescent="0.45">
      <c r="A1970" s="1">
        <v>43973</v>
      </c>
      <c r="B1970">
        <v>130472.2</v>
      </c>
      <c r="C1970">
        <v>69.661220639999996</v>
      </c>
      <c r="D1970" s="2">
        <v>9.1</v>
      </c>
      <c r="E1970" s="2">
        <v>13.6</v>
      </c>
      <c r="F1970" s="2">
        <v>7.8</v>
      </c>
      <c r="G1970" s="2">
        <v>11.4</v>
      </c>
      <c r="H1970" s="2" t="str">
        <f>VLOOKUP(A1970,Holidays!$A$2:$B$2107,2,1)</f>
        <v>N</v>
      </c>
      <c r="I1970" s="2" t="str">
        <f>VLOOKUP(A1970,Holidays!$A$2:$C$2107,3,1)</f>
        <v>N</v>
      </c>
    </row>
    <row r="1971" spans="1:9" x14ac:dyDescent="0.45">
      <c r="A1971" s="1">
        <v>43974</v>
      </c>
      <c r="B1971">
        <v>115234.32</v>
      </c>
      <c r="C1971">
        <v>40.605164469999998</v>
      </c>
      <c r="D1971" s="2">
        <v>9.4</v>
      </c>
      <c r="E1971" s="2">
        <v>13.5</v>
      </c>
      <c r="F1971" s="2">
        <v>5.8</v>
      </c>
      <c r="G1971" s="2">
        <v>0</v>
      </c>
      <c r="H1971" s="2" t="str">
        <f>VLOOKUP(A1971,Holidays!$A$2:$B$2107,2,1)</f>
        <v>N</v>
      </c>
      <c r="I1971" s="2" t="str">
        <f>VLOOKUP(A1971,Holidays!$A$2:$C$2107,3,1)</f>
        <v>N</v>
      </c>
    </row>
    <row r="1972" spans="1:9" x14ac:dyDescent="0.45">
      <c r="A1972" s="1">
        <v>43975</v>
      </c>
      <c r="B1972">
        <v>109579.82</v>
      </c>
      <c r="C1972">
        <v>39.993102280000002</v>
      </c>
      <c r="D1972" s="2">
        <v>10.9</v>
      </c>
      <c r="E1972" s="2">
        <v>13.8</v>
      </c>
      <c r="F1972" s="2">
        <v>7.9</v>
      </c>
      <c r="G1972" s="2">
        <v>3</v>
      </c>
      <c r="H1972" s="2" t="str">
        <f>VLOOKUP(A1972,Holidays!$A$2:$B$2107,2,1)</f>
        <v>N</v>
      </c>
      <c r="I1972" s="2" t="str">
        <f>VLOOKUP(A1972,Holidays!$A$2:$C$2107,3,1)</f>
        <v>N</v>
      </c>
    </row>
    <row r="1973" spans="1:9" x14ac:dyDescent="0.45">
      <c r="A1973" s="1">
        <v>43976</v>
      </c>
      <c r="B1973">
        <v>125532.575</v>
      </c>
      <c r="C1973">
        <v>46.784888840000001</v>
      </c>
      <c r="D1973" s="2">
        <v>5.5</v>
      </c>
      <c r="E1973" s="2">
        <v>16</v>
      </c>
      <c r="F1973" s="2">
        <v>10</v>
      </c>
      <c r="G1973" s="2">
        <v>0</v>
      </c>
      <c r="H1973" s="2" t="str">
        <f>VLOOKUP(A1973,Holidays!$A$2:$B$2107,2,1)</f>
        <v>N</v>
      </c>
      <c r="I1973" s="2" t="str">
        <f>VLOOKUP(A1973,Holidays!$A$2:$C$2107,3,1)</f>
        <v>N</v>
      </c>
    </row>
    <row r="1974" spans="1:9" x14ac:dyDescent="0.45">
      <c r="A1974" s="1">
        <v>43977</v>
      </c>
      <c r="B1974">
        <v>126788.83500000001</v>
      </c>
      <c r="C1974">
        <v>46.707466500000002</v>
      </c>
      <c r="D1974" s="2">
        <v>5.4</v>
      </c>
      <c r="E1974" s="2">
        <v>18.5</v>
      </c>
      <c r="F1974" s="2">
        <v>9.4</v>
      </c>
      <c r="G1974" s="2">
        <v>0</v>
      </c>
      <c r="H1974" s="2" t="str">
        <f>VLOOKUP(A1974,Holidays!$A$2:$B$2107,2,1)</f>
        <v>N</v>
      </c>
      <c r="I1974" s="2" t="str">
        <f>VLOOKUP(A1974,Holidays!$A$2:$C$2107,3,1)</f>
        <v>N</v>
      </c>
    </row>
    <row r="1975" spans="1:9" x14ac:dyDescent="0.45">
      <c r="A1975" s="1">
        <v>43978</v>
      </c>
      <c r="B1975">
        <v>124189.8</v>
      </c>
      <c r="C1975">
        <v>50.44310686</v>
      </c>
      <c r="D1975" s="2">
        <v>5.9</v>
      </c>
      <c r="E1975" s="2">
        <v>17.100000000000001</v>
      </c>
      <c r="F1975" s="2">
        <v>7.8</v>
      </c>
      <c r="G1975" s="2">
        <v>0</v>
      </c>
      <c r="H1975" s="2" t="str">
        <f>VLOOKUP(A1975,Holidays!$A$2:$B$2107,2,1)</f>
        <v>Y</v>
      </c>
      <c r="I1975" s="2" t="str">
        <f>VLOOKUP(A1975,Holidays!$A$2:$C$2107,3,1)</f>
        <v>N</v>
      </c>
    </row>
    <row r="1976" spans="1:9" x14ac:dyDescent="0.45">
      <c r="A1976" s="1">
        <v>43979</v>
      </c>
      <c r="B1976">
        <v>124062.485</v>
      </c>
      <c r="C1976">
        <v>65.360378650000001</v>
      </c>
      <c r="D1976" s="2">
        <v>12.1</v>
      </c>
      <c r="E1976" s="2">
        <v>17.600000000000001</v>
      </c>
      <c r="F1976" s="2">
        <v>6.7</v>
      </c>
      <c r="G1976" s="2">
        <v>0</v>
      </c>
      <c r="H1976" s="2" t="str">
        <f>VLOOKUP(A1976,Holidays!$A$2:$B$2107,2,1)</f>
        <v>Y</v>
      </c>
      <c r="I1976" s="2" t="str">
        <f>VLOOKUP(A1976,Holidays!$A$2:$C$2107,3,1)</f>
        <v>N</v>
      </c>
    </row>
    <row r="1977" spans="1:9" x14ac:dyDescent="0.45">
      <c r="A1977" s="1">
        <v>43980</v>
      </c>
      <c r="B1977">
        <v>120072.09</v>
      </c>
      <c r="C1977">
        <v>50.142944370000002</v>
      </c>
      <c r="D1977" s="2">
        <v>7.2</v>
      </c>
      <c r="E1977" s="2">
        <v>17.100000000000001</v>
      </c>
      <c r="F1977" s="2">
        <v>9.6</v>
      </c>
      <c r="G1977" s="2">
        <v>0</v>
      </c>
      <c r="H1977" s="2" t="str">
        <f>VLOOKUP(A1977,Holidays!$A$2:$B$2107,2,1)</f>
        <v>Y</v>
      </c>
      <c r="I1977" s="2" t="str">
        <f>VLOOKUP(A1977,Holidays!$A$2:$C$2107,3,1)</f>
        <v>N</v>
      </c>
    </row>
    <row r="1978" spans="1:9" x14ac:dyDescent="0.45">
      <c r="A1978" s="1">
        <v>43981</v>
      </c>
      <c r="B1978">
        <v>102231.77</v>
      </c>
      <c r="C1978">
        <v>21.75529586</v>
      </c>
      <c r="D1978" s="2">
        <v>8.1</v>
      </c>
      <c r="E1978" s="2">
        <v>17.100000000000001</v>
      </c>
      <c r="F1978" s="2">
        <v>9.3000000000000007</v>
      </c>
      <c r="G1978" s="2">
        <v>0</v>
      </c>
      <c r="H1978" s="2" t="str">
        <f>VLOOKUP(A1978,Holidays!$A$2:$B$2107,2,1)</f>
        <v>Y</v>
      </c>
      <c r="I1978" s="2" t="str">
        <f>VLOOKUP(A1978,Holidays!$A$2:$C$2107,3,1)</f>
        <v>N</v>
      </c>
    </row>
    <row r="1979" spans="1:9" x14ac:dyDescent="0.45">
      <c r="A1979" s="1">
        <v>43982</v>
      </c>
      <c r="B1979">
        <v>102684.59</v>
      </c>
      <c r="C1979">
        <v>30.299929980000002</v>
      </c>
      <c r="D1979" s="2">
        <v>12.4</v>
      </c>
      <c r="E1979" s="2">
        <v>17.8</v>
      </c>
      <c r="F1979" s="2">
        <v>8</v>
      </c>
      <c r="G1979" s="2">
        <v>0</v>
      </c>
      <c r="H1979" s="2" t="str">
        <f>VLOOKUP(A1979,Holidays!$A$2:$B$2107,2,1)</f>
        <v>Y</v>
      </c>
      <c r="I1979" s="2" t="str">
        <f>VLOOKUP(A1979,Holidays!$A$2:$C$2107,3,1)</f>
        <v>N</v>
      </c>
    </row>
    <row r="1980" spans="1:9" x14ac:dyDescent="0.45">
      <c r="A1980" s="1">
        <v>43983</v>
      </c>
      <c r="B1980">
        <v>132039.70499999999</v>
      </c>
      <c r="C1980">
        <v>35.150957130000002</v>
      </c>
      <c r="D1980" s="2">
        <v>9.3000000000000007</v>
      </c>
      <c r="E1980" s="2">
        <v>11.2</v>
      </c>
      <c r="F1980" s="2">
        <v>2.6</v>
      </c>
      <c r="G1980" s="2">
        <v>5</v>
      </c>
      <c r="H1980" s="2" t="str">
        <f>VLOOKUP(A1980,Holidays!$A$2:$B$2107,2,1)</f>
        <v>Y</v>
      </c>
      <c r="I1980" s="2" t="str">
        <f>VLOOKUP(A1980,Holidays!$A$2:$C$2107,3,1)</f>
        <v>N</v>
      </c>
    </row>
    <row r="1981" spans="1:9" x14ac:dyDescent="0.45">
      <c r="A1981" s="1">
        <v>43984</v>
      </c>
      <c r="B1981">
        <v>132710.35999999999</v>
      </c>
      <c r="C1981">
        <v>40.304546930000001</v>
      </c>
      <c r="D1981" s="2">
        <v>8.4</v>
      </c>
      <c r="E1981" s="2">
        <v>15.6</v>
      </c>
      <c r="F1981" s="2">
        <v>4.9000000000000004</v>
      </c>
      <c r="G1981" s="2">
        <v>11.6</v>
      </c>
      <c r="H1981" s="2" t="str">
        <f>VLOOKUP(A1981,Holidays!$A$2:$B$2107,2,1)</f>
        <v>Y</v>
      </c>
      <c r="I1981" s="2" t="str">
        <f>VLOOKUP(A1981,Holidays!$A$2:$C$2107,3,1)</f>
        <v>N</v>
      </c>
    </row>
    <row r="1982" spans="1:9" x14ac:dyDescent="0.45">
      <c r="A1982" s="1">
        <v>43985</v>
      </c>
      <c r="B1982">
        <v>130801.825</v>
      </c>
      <c r="C1982">
        <v>46.17833796</v>
      </c>
      <c r="D1982" s="2">
        <v>10.5</v>
      </c>
      <c r="E1982" s="2">
        <v>14.1</v>
      </c>
      <c r="F1982" s="2">
        <v>7.3</v>
      </c>
      <c r="G1982" s="2">
        <v>0.6</v>
      </c>
      <c r="H1982" s="2" t="str">
        <f>VLOOKUP(A1982,Holidays!$A$2:$B$2107,2,1)</f>
        <v>Y</v>
      </c>
      <c r="I1982" s="2" t="str">
        <f>VLOOKUP(A1982,Holidays!$A$2:$C$2107,3,1)</f>
        <v>N</v>
      </c>
    </row>
    <row r="1983" spans="1:9" x14ac:dyDescent="0.45">
      <c r="A1983" s="1">
        <v>43986</v>
      </c>
      <c r="B1983">
        <v>133322.02499999999</v>
      </c>
      <c r="C1983">
        <v>52.411741579999997</v>
      </c>
      <c r="D1983" s="2">
        <v>9.3000000000000007</v>
      </c>
      <c r="E1983" s="2">
        <v>13.8</v>
      </c>
      <c r="F1983" s="2">
        <v>9.3000000000000007</v>
      </c>
      <c r="G1983" s="2">
        <v>0</v>
      </c>
      <c r="H1983" s="2" t="str">
        <f>VLOOKUP(A1983,Holidays!$A$2:$B$2107,2,1)</f>
        <v>Y</v>
      </c>
      <c r="I1983" s="2" t="str">
        <f>VLOOKUP(A1983,Holidays!$A$2:$C$2107,3,1)</f>
        <v>N</v>
      </c>
    </row>
    <row r="1984" spans="1:9" x14ac:dyDescent="0.45">
      <c r="A1984" s="1">
        <v>43987</v>
      </c>
      <c r="B1984">
        <v>137368.465</v>
      </c>
      <c r="C1984">
        <v>62.033443830000003</v>
      </c>
      <c r="D1984" s="2">
        <v>4.0999999999999996</v>
      </c>
      <c r="E1984" s="2">
        <v>14.6</v>
      </c>
      <c r="F1984" s="2">
        <v>9.4</v>
      </c>
      <c r="G1984" s="2">
        <v>0</v>
      </c>
      <c r="H1984" s="2" t="str">
        <f>VLOOKUP(A1984,Holidays!$A$2:$B$2107,2,1)</f>
        <v>Y</v>
      </c>
      <c r="I1984" s="2" t="str">
        <f>VLOOKUP(A1984,Holidays!$A$2:$C$2107,3,1)</f>
        <v>N</v>
      </c>
    </row>
    <row r="1985" spans="1:9" x14ac:dyDescent="0.45">
      <c r="A1985" s="1">
        <v>43988</v>
      </c>
      <c r="B1985">
        <v>126427.92</v>
      </c>
      <c r="C1985">
        <v>51.805299679999997</v>
      </c>
      <c r="D1985" s="2">
        <v>6</v>
      </c>
      <c r="E1985" s="2">
        <v>13.3</v>
      </c>
      <c r="F1985" s="2">
        <v>6.6</v>
      </c>
      <c r="G1985" s="2">
        <v>0</v>
      </c>
      <c r="H1985" s="2" t="str">
        <f>VLOOKUP(A1985,Holidays!$A$2:$B$2107,2,1)</f>
        <v>Y</v>
      </c>
      <c r="I1985" s="2" t="str">
        <f>VLOOKUP(A1985,Holidays!$A$2:$C$2107,3,1)</f>
        <v>N</v>
      </c>
    </row>
    <row r="1986" spans="1:9" x14ac:dyDescent="0.45">
      <c r="A1986" s="1">
        <v>43989</v>
      </c>
      <c r="B1986">
        <v>119524.41</v>
      </c>
      <c r="C1986">
        <v>52.567743700000001</v>
      </c>
      <c r="D1986" s="2">
        <v>7.9</v>
      </c>
      <c r="E1986" s="2">
        <v>11.8</v>
      </c>
      <c r="F1986" s="2">
        <v>6.3</v>
      </c>
      <c r="G1986" s="2">
        <v>0</v>
      </c>
      <c r="H1986" s="2" t="str">
        <f>VLOOKUP(A1986,Holidays!$A$2:$B$2107,2,1)</f>
        <v>Y</v>
      </c>
      <c r="I1986" s="2" t="str">
        <f>VLOOKUP(A1986,Holidays!$A$2:$C$2107,3,1)</f>
        <v>N</v>
      </c>
    </row>
    <row r="1987" spans="1:9" x14ac:dyDescent="0.45">
      <c r="A1987" s="1">
        <v>43990</v>
      </c>
      <c r="B1987">
        <v>124792.97500000001</v>
      </c>
      <c r="C1987">
        <v>64.935526899999999</v>
      </c>
      <c r="D1987" s="2">
        <v>4.5</v>
      </c>
      <c r="E1987" s="2">
        <v>12.6</v>
      </c>
      <c r="F1987" s="2">
        <v>8.8000000000000007</v>
      </c>
      <c r="G1987" s="2">
        <v>0</v>
      </c>
      <c r="H1987" s="2" t="str">
        <f>VLOOKUP(A1987,Holidays!$A$2:$B$2107,2,1)</f>
        <v>Y</v>
      </c>
      <c r="I1987" s="2" t="str">
        <f>VLOOKUP(A1987,Holidays!$A$2:$C$2107,3,1)</f>
        <v>Y</v>
      </c>
    </row>
    <row r="1988" spans="1:9" x14ac:dyDescent="0.45">
      <c r="A1988" s="1">
        <v>43991</v>
      </c>
      <c r="B1988">
        <v>141571.29500000001</v>
      </c>
      <c r="C1988">
        <v>134.74761480000001</v>
      </c>
      <c r="D1988" s="2">
        <v>2</v>
      </c>
      <c r="E1988" s="2">
        <v>15.3</v>
      </c>
      <c r="F1988" s="2">
        <v>9.3000000000000007</v>
      </c>
      <c r="G1988" s="2">
        <v>0.2</v>
      </c>
      <c r="H1988" s="2" t="str">
        <f>VLOOKUP(A1988,Holidays!$A$2:$B$2107,2,1)</f>
        <v>Y</v>
      </c>
      <c r="I1988" s="2" t="str">
        <f>VLOOKUP(A1988,Holidays!$A$2:$C$2107,3,1)</f>
        <v>N</v>
      </c>
    </row>
    <row r="1989" spans="1:9" x14ac:dyDescent="0.45">
      <c r="A1989" s="1">
        <v>43992</v>
      </c>
      <c r="B1989">
        <v>137795.79500000001</v>
      </c>
      <c r="C1989">
        <v>121.1776674</v>
      </c>
      <c r="D1989" s="2">
        <v>3.9</v>
      </c>
      <c r="E1989" s="2">
        <v>16.7</v>
      </c>
      <c r="F1989" s="2">
        <v>8.8000000000000007</v>
      </c>
      <c r="G1989" s="2">
        <v>0</v>
      </c>
      <c r="H1989" s="2" t="str">
        <f>VLOOKUP(A1989,Holidays!$A$2:$B$2107,2,1)</f>
        <v>Y</v>
      </c>
      <c r="I1989" s="2" t="str">
        <f>VLOOKUP(A1989,Holidays!$A$2:$C$2107,3,1)</f>
        <v>N</v>
      </c>
    </row>
    <row r="1990" spans="1:9" x14ac:dyDescent="0.45">
      <c r="A1990" s="1">
        <v>43993</v>
      </c>
      <c r="B1990">
        <v>141444.44500000001</v>
      </c>
      <c r="C1990">
        <v>99.91431747</v>
      </c>
      <c r="D1990" s="2">
        <v>4.5</v>
      </c>
      <c r="E1990" s="2">
        <v>16.899999999999999</v>
      </c>
      <c r="F1990" s="2">
        <v>9.1</v>
      </c>
      <c r="G1990" s="2">
        <v>0</v>
      </c>
      <c r="H1990" s="2" t="str">
        <f>VLOOKUP(A1990,Holidays!$A$2:$B$2107,2,1)</f>
        <v>Y</v>
      </c>
      <c r="I1990" s="2" t="str">
        <f>VLOOKUP(A1990,Holidays!$A$2:$C$2107,3,1)</f>
        <v>N</v>
      </c>
    </row>
    <row r="1991" spans="1:9" x14ac:dyDescent="0.45">
      <c r="A1991" s="1">
        <v>43994</v>
      </c>
      <c r="B1991">
        <v>134684.58499999999</v>
      </c>
      <c r="C1991">
        <v>50.250574039999997</v>
      </c>
      <c r="D1991" s="2">
        <v>4.2</v>
      </c>
      <c r="E1991" s="2">
        <v>15.3</v>
      </c>
      <c r="F1991" s="2">
        <v>9.1999999999999993</v>
      </c>
      <c r="G1991" s="2">
        <v>0</v>
      </c>
      <c r="H1991" s="2" t="str">
        <f>VLOOKUP(A1991,Holidays!$A$2:$B$2107,2,1)</f>
        <v>Y</v>
      </c>
      <c r="I1991" s="2" t="str">
        <f>VLOOKUP(A1991,Holidays!$A$2:$C$2107,3,1)</f>
        <v>N</v>
      </c>
    </row>
    <row r="1992" spans="1:9" x14ac:dyDescent="0.45">
      <c r="A1992" s="1">
        <v>43995</v>
      </c>
      <c r="B1992">
        <v>117394.455</v>
      </c>
      <c r="C1992">
        <v>31.448271609999999</v>
      </c>
      <c r="D1992" s="2">
        <v>5.7</v>
      </c>
      <c r="E1992" s="2">
        <v>16.399999999999999</v>
      </c>
      <c r="F1992" s="2">
        <v>3.4</v>
      </c>
      <c r="G1992" s="2">
        <v>0</v>
      </c>
      <c r="H1992" s="2" t="str">
        <f>VLOOKUP(A1992,Holidays!$A$2:$B$2107,2,1)</f>
        <v>Y</v>
      </c>
      <c r="I1992" s="2" t="str">
        <f>VLOOKUP(A1992,Holidays!$A$2:$C$2107,3,1)</f>
        <v>N</v>
      </c>
    </row>
    <row r="1993" spans="1:9" x14ac:dyDescent="0.45">
      <c r="A1993" s="1">
        <v>43996</v>
      </c>
      <c r="B1993">
        <v>107553.005</v>
      </c>
      <c r="C1993">
        <v>24.879646619999999</v>
      </c>
      <c r="D1993" s="2">
        <v>10.4</v>
      </c>
      <c r="E1993" s="2">
        <v>15.2</v>
      </c>
      <c r="F1993" s="2">
        <v>8</v>
      </c>
      <c r="G1993" s="2">
        <v>5.8</v>
      </c>
      <c r="H1993" s="2" t="str">
        <f>VLOOKUP(A1993,Holidays!$A$2:$B$2107,2,1)</f>
        <v>Y</v>
      </c>
      <c r="I1993" s="2" t="str">
        <f>VLOOKUP(A1993,Holidays!$A$2:$C$2107,3,1)</f>
        <v>N</v>
      </c>
    </row>
    <row r="1994" spans="1:9" x14ac:dyDescent="0.45">
      <c r="A1994" s="1">
        <v>43997</v>
      </c>
      <c r="B1994">
        <v>121221.455</v>
      </c>
      <c r="C1994">
        <v>26.006880500000001</v>
      </c>
      <c r="D1994" s="2">
        <v>11.6</v>
      </c>
      <c r="E1994" s="2">
        <v>18.399999999999999</v>
      </c>
      <c r="F1994" s="2">
        <v>8</v>
      </c>
      <c r="G1994" s="2">
        <v>0</v>
      </c>
      <c r="H1994" s="2" t="str">
        <f>VLOOKUP(A1994,Holidays!$A$2:$B$2107,2,1)</f>
        <v>Y</v>
      </c>
      <c r="I1994" s="2" t="str">
        <f>VLOOKUP(A1994,Holidays!$A$2:$C$2107,3,1)</f>
        <v>N</v>
      </c>
    </row>
    <row r="1995" spans="1:9" x14ac:dyDescent="0.45">
      <c r="A1995" s="1">
        <v>43998</v>
      </c>
      <c r="B1995">
        <v>124473.67</v>
      </c>
      <c r="C1995">
        <v>34.230911220000003</v>
      </c>
      <c r="D1995" s="2">
        <v>13</v>
      </c>
      <c r="E1995" s="2">
        <v>17.899999999999999</v>
      </c>
      <c r="F1995" s="2">
        <v>6.7</v>
      </c>
      <c r="G1995" s="2">
        <v>0</v>
      </c>
      <c r="H1995" s="2" t="str">
        <f>VLOOKUP(A1995,Holidays!$A$2:$B$2107,2,1)</f>
        <v>Y</v>
      </c>
      <c r="I1995" s="2" t="str">
        <f>VLOOKUP(A1995,Holidays!$A$2:$C$2107,3,1)</f>
        <v>N</v>
      </c>
    </row>
    <row r="1996" spans="1:9" x14ac:dyDescent="0.45">
      <c r="A1996" s="1">
        <v>43999</v>
      </c>
      <c r="B1996">
        <v>133969.69</v>
      </c>
      <c r="C1996">
        <v>66.78362319</v>
      </c>
      <c r="D1996" s="2">
        <v>10.199999999999999</v>
      </c>
      <c r="E1996" s="2">
        <v>14.6</v>
      </c>
      <c r="F1996" s="2">
        <v>8.5</v>
      </c>
      <c r="G1996" s="2">
        <v>0.4</v>
      </c>
      <c r="H1996" s="2" t="str">
        <f>VLOOKUP(A1996,Holidays!$A$2:$B$2107,2,1)</f>
        <v>Y</v>
      </c>
      <c r="I1996" s="2" t="str">
        <f>VLOOKUP(A1996,Holidays!$A$2:$C$2107,3,1)</f>
        <v>N</v>
      </c>
    </row>
    <row r="1997" spans="1:9" x14ac:dyDescent="0.45">
      <c r="A1997" s="1">
        <v>44000</v>
      </c>
      <c r="B1997">
        <v>130437.325</v>
      </c>
      <c r="C1997">
        <v>35.142928869999999</v>
      </c>
      <c r="D1997" s="2">
        <v>4.5999999999999996</v>
      </c>
      <c r="E1997" s="2">
        <v>16.899999999999999</v>
      </c>
      <c r="F1997" s="2">
        <v>9.1</v>
      </c>
      <c r="G1997" s="2">
        <v>0</v>
      </c>
      <c r="H1997" s="2" t="str">
        <f>VLOOKUP(A1997,Holidays!$A$2:$B$2107,2,1)</f>
        <v>Y</v>
      </c>
      <c r="I1997" s="2" t="str">
        <f>VLOOKUP(A1997,Holidays!$A$2:$C$2107,3,1)</f>
        <v>N</v>
      </c>
    </row>
    <row r="1998" spans="1:9" x14ac:dyDescent="0.45">
      <c r="A1998" s="1">
        <v>44001</v>
      </c>
      <c r="B1998">
        <v>120149.435</v>
      </c>
      <c r="C1998">
        <v>30.518706590000001</v>
      </c>
      <c r="D1998" s="2">
        <v>6.4</v>
      </c>
      <c r="E1998" s="2">
        <v>17.8</v>
      </c>
      <c r="F1998" s="2">
        <v>8.6</v>
      </c>
      <c r="G1998" s="2">
        <v>0</v>
      </c>
      <c r="H1998" s="2" t="str">
        <f>VLOOKUP(A1998,Holidays!$A$2:$B$2107,2,1)</f>
        <v>Y</v>
      </c>
      <c r="I1998" s="2" t="str">
        <f>VLOOKUP(A1998,Holidays!$A$2:$C$2107,3,1)</f>
        <v>N</v>
      </c>
    </row>
    <row r="1999" spans="1:9" x14ac:dyDescent="0.45">
      <c r="A1999" s="1">
        <v>44002</v>
      </c>
      <c r="B1999">
        <v>109644.69500000001</v>
      </c>
      <c r="C1999">
        <v>34.059332099999999</v>
      </c>
      <c r="D1999" s="2">
        <v>12.8</v>
      </c>
      <c r="E1999" s="2">
        <v>16.899999999999999</v>
      </c>
      <c r="F1999" s="2">
        <v>8.5</v>
      </c>
      <c r="G1999" s="2">
        <v>1.4</v>
      </c>
      <c r="H1999" s="2" t="str">
        <f>VLOOKUP(A1999,Holidays!$A$2:$B$2107,2,1)</f>
        <v>Y</v>
      </c>
      <c r="I1999" s="2" t="str">
        <f>VLOOKUP(A1999,Holidays!$A$2:$C$2107,3,1)</f>
        <v>N</v>
      </c>
    </row>
    <row r="2000" spans="1:9" x14ac:dyDescent="0.45">
      <c r="A2000" s="1">
        <v>44003</v>
      </c>
      <c r="B2000">
        <v>121528.375</v>
      </c>
      <c r="C2000">
        <v>36.994378519999998</v>
      </c>
      <c r="D2000" s="2">
        <v>6.9</v>
      </c>
      <c r="E2000" s="2">
        <v>12</v>
      </c>
      <c r="F2000" s="2">
        <v>4.9000000000000004</v>
      </c>
      <c r="G2000" s="2">
        <v>0</v>
      </c>
      <c r="H2000" s="2" t="str">
        <f>VLOOKUP(A2000,Holidays!$A$2:$B$2107,2,1)</f>
        <v>Y</v>
      </c>
      <c r="I2000" s="2" t="str">
        <f>VLOOKUP(A2000,Holidays!$A$2:$C$2107,3,1)</f>
        <v>N</v>
      </c>
    </row>
    <row r="2001" spans="1:9" x14ac:dyDescent="0.45">
      <c r="A2001" s="1">
        <v>44004</v>
      </c>
      <c r="B2001">
        <v>136373.435</v>
      </c>
      <c r="C2001">
        <v>45.896190480000001</v>
      </c>
      <c r="D2001" s="2">
        <v>8.1</v>
      </c>
      <c r="E2001" s="2">
        <v>13</v>
      </c>
      <c r="F2001" s="2">
        <v>5.5</v>
      </c>
      <c r="G2001" s="2">
        <v>0</v>
      </c>
      <c r="H2001" s="2" t="str">
        <f>VLOOKUP(A2001,Holidays!$A$2:$B$2107,2,1)</f>
        <v>Y</v>
      </c>
      <c r="I2001" s="2" t="str">
        <f>VLOOKUP(A2001,Holidays!$A$2:$C$2107,3,1)</f>
        <v>N</v>
      </c>
    </row>
    <row r="2002" spans="1:9" x14ac:dyDescent="0.45">
      <c r="A2002" s="1">
        <v>44005</v>
      </c>
      <c r="B2002">
        <v>131904.745</v>
      </c>
      <c r="C2002">
        <v>48.986743169999997</v>
      </c>
      <c r="D2002" s="2">
        <v>9</v>
      </c>
      <c r="E2002" s="2">
        <v>14.4</v>
      </c>
      <c r="F2002" s="2">
        <v>8.4</v>
      </c>
      <c r="G2002" s="2">
        <v>2.2000000000000002</v>
      </c>
      <c r="H2002" s="2" t="str">
        <f>VLOOKUP(A2002,Holidays!$A$2:$B$2107,2,1)</f>
        <v>Y</v>
      </c>
      <c r="I2002" s="2" t="str">
        <f>VLOOKUP(A2002,Holidays!$A$2:$C$2107,3,1)</f>
        <v>N</v>
      </c>
    </row>
    <row r="2003" spans="1:9" x14ac:dyDescent="0.45">
      <c r="A2003" s="1">
        <v>44006</v>
      </c>
      <c r="B2003">
        <v>133100.905</v>
      </c>
      <c r="C2003">
        <v>56.721435829999997</v>
      </c>
      <c r="D2003" s="2">
        <v>10.1</v>
      </c>
      <c r="E2003" s="2">
        <v>14.9</v>
      </c>
      <c r="F2003" s="2">
        <v>8</v>
      </c>
      <c r="G2003" s="2">
        <v>0.4</v>
      </c>
      <c r="H2003" s="2" t="str">
        <f>VLOOKUP(A2003,Holidays!$A$2:$B$2107,2,1)</f>
        <v>Y</v>
      </c>
      <c r="I2003" s="2" t="str">
        <f>VLOOKUP(A2003,Holidays!$A$2:$C$2107,3,1)</f>
        <v>N</v>
      </c>
    </row>
    <row r="2004" spans="1:9" x14ac:dyDescent="0.45">
      <c r="A2004" s="1">
        <v>44007</v>
      </c>
      <c r="B2004">
        <v>131466.23999999999</v>
      </c>
      <c r="C2004">
        <v>39.910040360000004</v>
      </c>
      <c r="D2004" s="2">
        <v>10.199999999999999</v>
      </c>
      <c r="E2004" s="2">
        <v>15.9</v>
      </c>
      <c r="F2004" s="2">
        <v>5</v>
      </c>
      <c r="G2004" s="2">
        <v>0</v>
      </c>
      <c r="H2004" s="2" t="str">
        <f>VLOOKUP(A2004,Holidays!$A$2:$B$2107,2,1)</f>
        <v>Y</v>
      </c>
      <c r="I2004" s="2" t="str">
        <f>VLOOKUP(A2004,Holidays!$A$2:$C$2107,3,1)</f>
        <v>N</v>
      </c>
    </row>
    <row r="2005" spans="1:9" x14ac:dyDescent="0.45">
      <c r="A2005" s="1">
        <v>44008</v>
      </c>
      <c r="B2005">
        <v>136872.56</v>
      </c>
      <c r="C2005">
        <v>55.536961150000003</v>
      </c>
      <c r="D2005" s="2">
        <v>7.9</v>
      </c>
      <c r="E2005" s="2">
        <v>13.8</v>
      </c>
      <c r="F2005" s="2">
        <v>8.8000000000000007</v>
      </c>
      <c r="G2005" s="2">
        <v>1.2</v>
      </c>
      <c r="H2005" s="2" t="str">
        <f>VLOOKUP(A2005,Holidays!$A$2:$B$2107,2,1)</f>
        <v>N</v>
      </c>
      <c r="I2005" s="2" t="str">
        <f>VLOOKUP(A2005,Holidays!$A$2:$C$2107,3,1)</f>
        <v>N</v>
      </c>
    </row>
    <row r="2006" spans="1:9" x14ac:dyDescent="0.45">
      <c r="A2006" s="1">
        <v>44009</v>
      </c>
      <c r="B2006">
        <v>126938.54</v>
      </c>
      <c r="C2006">
        <v>48.303282799999998</v>
      </c>
      <c r="D2006" s="2">
        <v>6.2</v>
      </c>
      <c r="E2006" s="2">
        <v>13.1</v>
      </c>
      <c r="F2006" s="2">
        <v>7.9</v>
      </c>
      <c r="G2006" s="2">
        <v>0</v>
      </c>
      <c r="H2006" s="2" t="str">
        <f>VLOOKUP(A2006,Holidays!$A$2:$B$2107,2,1)</f>
        <v>N</v>
      </c>
      <c r="I2006" s="2" t="str">
        <f>VLOOKUP(A2006,Holidays!$A$2:$C$2107,3,1)</f>
        <v>N</v>
      </c>
    </row>
    <row r="2007" spans="1:9" x14ac:dyDescent="0.45">
      <c r="A2007" s="1">
        <v>44010</v>
      </c>
      <c r="B2007">
        <v>125830.75</v>
      </c>
      <c r="C2007">
        <v>49.198760270000001</v>
      </c>
      <c r="D2007" s="2">
        <v>1.7</v>
      </c>
      <c r="E2007" s="2">
        <v>12.5</v>
      </c>
      <c r="F2007" s="2">
        <v>9.3000000000000007</v>
      </c>
      <c r="G2007" s="2">
        <v>0.2</v>
      </c>
      <c r="H2007" s="2" t="str">
        <f>VLOOKUP(A2007,Holidays!$A$2:$B$2107,2,1)</f>
        <v>N</v>
      </c>
      <c r="I2007" s="2" t="str">
        <f>VLOOKUP(A2007,Holidays!$A$2:$C$2107,3,1)</f>
        <v>N</v>
      </c>
    </row>
    <row r="2008" spans="1:9" x14ac:dyDescent="0.45">
      <c r="A2008" s="1">
        <v>44011</v>
      </c>
      <c r="B2008">
        <v>141431.99</v>
      </c>
      <c r="C2008">
        <v>42.724552449999997</v>
      </c>
      <c r="D2008" s="2">
        <v>2.2000000000000002</v>
      </c>
      <c r="E2008" s="2">
        <v>15.4</v>
      </c>
      <c r="F2008" s="2">
        <v>9.3000000000000007</v>
      </c>
      <c r="G2008" s="2">
        <v>0</v>
      </c>
      <c r="H2008" s="2" t="str">
        <f>VLOOKUP(A2008,Holidays!$A$2:$B$2107,2,1)</f>
        <v>N</v>
      </c>
      <c r="I2008" s="2" t="str">
        <f>VLOOKUP(A2008,Holidays!$A$2:$C$2107,3,1)</f>
        <v>N</v>
      </c>
    </row>
    <row r="2009" spans="1:9" x14ac:dyDescent="0.45">
      <c r="A2009" s="1">
        <v>44012</v>
      </c>
      <c r="B2009">
        <v>137644.86499999999</v>
      </c>
      <c r="C2009">
        <v>32.463374850000001</v>
      </c>
      <c r="D2009" s="2">
        <v>3</v>
      </c>
      <c r="E2009" s="2">
        <v>15.2</v>
      </c>
      <c r="F2009" s="2">
        <v>7.7</v>
      </c>
      <c r="G2009" s="2">
        <v>0</v>
      </c>
      <c r="H2009" s="2" t="str">
        <f>VLOOKUP(A2009,Holidays!$A$2:$B$2107,2,1)</f>
        <v>N</v>
      </c>
      <c r="I2009" s="2" t="str">
        <f>VLOOKUP(A2009,Holidays!$A$2:$C$2107,3,1)</f>
        <v>N</v>
      </c>
    </row>
    <row r="2010" spans="1:9" x14ac:dyDescent="0.45">
      <c r="A2010" s="1">
        <v>44013</v>
      </c>
      <c r="B2010">
        <v>126614.72</v>
      </c>
      <c r="C2010">
        <v>33.15843237</v>
      </c>
      <c r="D2010" s="2">
        <v>9.8000000000000007</v>
      </c>
      <c r="E2010" s="2">
        <v>17.399999999999999</v>
      </c>
      <c r="F2010" s="2">
        <v>9.1</v>
      </c>
      <c r="G2010" s="2">
        <v>0</v>
      </c>
      <c r="H2010" s="2" t="str">
        <f>VLOOKUP(A2010,Holidays!$A$2:$B$2107,2,1)</f>
        <v>N</v>
      </c>
      <c r="I2010" s="2" t="str">
        <f>VLOOKUP(A2010,Holidays!$A$2:$C$2107,3,1)</f>
        <v>N</v>
      </c>
    </row>
    <row r="2011" spans="1:9" x14ac:dyDescent="0.45">
      <c r="A2011" s="1">
        <v>44014</v>
      </c>
      <c r="B2011">
        <v>131372.71</v>
      </c>
      <c r="C2011">
        <v>37.366426310000001</v>
      </c>
      <c r="D2011" s="2">
        <v>10.199999999999999</v>
      </c>
      <c r="E2011" s="2">
        <v>15.1</v>
      </c>
      <c r="F2011" s="2">
        <v>7.3</v>
      </c>
      <c r="G2011" s="2">
        <v>1.2</v>
      </c>
      <c r="H2011" s="2" t="str">
        <f>VLOOKUP(A2011,Holidays!$A$2:$B$2107,2,1)</f>
        <v>N</v>
      </c>
      <c r="I2011" s="2" t="str">
        <f>VLOOKUP(A2011,Holidays!$A$2:$C$2107,3,1)</f>
        <v>N</v>
      </c>
    </row>
    <row r="2012" spans="1:9" x14ac:dyDescent="0.45">
      <c r="A2012" s="1">
        <v>44015</v>
      </c>
      <c r="B2012">
        <v>143010.26999999999</v>
      </c>
      <c r="C2012">
        <v>43.512020370000002</v>
      </c>
      <c r="D2012" s="2">
        <v>7.7</v>
      </c>
      <c r="E2012" s="2">
        <v>10.3</v>
      </c>
      <c r="F2012" s="2">
        <v>4.0999999999999996</v>
      </c>
      <c r="G2012" s="2">
        <v>0</v>
      </c>
      <c r="H2012" s="2" t="str">
        <f>VLOOKUP(A2012,Holidays!$A$2:$B$2107,2,1)</f>
        <v>N</v>
      </c>
      <c r="I2012" s="2" t="str">
        <f>VLOOKUP(A2012,Holidays!$A$2:$C$2107,3,1)</f>
        <v>N</v>
      </c>
    </row>
    <row r="2013" spans="1:9" x14ac:dyDescent="0.45">
      <c r="A2013" s="1">
        <v>44016</v>
      </c>
      <c r="B2013">
        <v>125400.27</v>
      </c>
      <c r="C2013">
        <v>50.026100579999998</v>
      </c>
      <c r="D2013" s="2">
        <v>6.5</v>
      </c>
      <c r="E2013" s="2">
        <v>14.5</v>
      </c>
      <c r="F2013" s="2">
        <v>5.7</v>
      </c>
      <c r="G2013" s="2">
        <v>7.8</v>
      </c>
      <c r="H2013" s="2" t="str">
        <f>VLOOKUP(A2013,Holidays!$A$2:$B$2107,2,1)</f>
        <v>N</v>
      </c>
      <c r="I2013" s="2" t="str">
        <f>VLOOKUP(A2013,Holidays!$A$2:$C$2107,3,1)</f>
        <v>N</v>
      </c>
    </row>
    <row r="2014" spans="1:9" x14ac:dyDescent="0.45">
      <c r="A2014" s="1">
        <v>44017</v>
      </c>
      <c r="B2014">
        <v>118507.76</v>
      </c>
      <c r="C2014">
        <v>50.787712599999999</v>
      </c>
      <c r="D2014" s="2">
        <v>8.9</v>
      </c>
      <c r="E2014" s="2">
        <v>12.5</v>
      </c>
      <c r="F2014" s="2">
        <v>6.5</v>
      </c>
      <c r="G2014" s="2">
        <v>4.5999999999999996</v>
      </c>
      <c r="H2014" s="2" t="str">
        <f>VLOOKUP(A2014,Holidays!$A$2:$B$2107,2,1)</f>
        <v>N</v>
      </c>
      <c r="I2014" s="2" t="str">
        <f>VLOOKUP(A2014,Holidays!$A$2:$C$2107,3,1)</f>
        <v>N</v>
      </c>
    </row>
    <row r="2015" spans="1:9" x14ac:dyDescent="0.45">
      <c r="A2015" s="1">
        <v>44018</v>
      </c>
      <c r="B2015">
        <v>136255.33499999999</v>
      </c>
      <c r="C2015">
        <v>75.960622720000003</v>
      </c>
      <c r="D2015" s="2">
        <v>8.1</v>
      </c>
      <c r="E2015" s="2">
        <v>13.1</v>
      </c>
      <c r="F2015" s="2">
        <v>5.8</v>
      </c>
      <c r="G2015" s="2">
        <v>1</v>
      </c>
      <c r="H2015" s="2" t="str">
        <f>VLOOKUP(A2015,Holidays!$A$2:$B$2107,2,1)</f>
        <v>N</v>
      </c>
      <c r="I2015" s="2" t="str">
        <f>VLOOKUP(A2015,Holidays!$A$2:$C$2107,3,1)</f>
        <v>N</v>
      </c>
    </row>
    <row r="2016" spans="1:9" x14ac:dyDescent="0.45">
      <c r="A2016" s="1">
        <v>44019</v>
      </c>
      <c r="B2016">
        <v>140264.51999999999</v>
      </c>
      <c r="C2016">
        <v>88.336242659999996</v>
      </c>
      <c r="D2016" s="2">
        <v>8.9</v>
      </c>
      <c r="E2016" s="2">
        <v>11.8</v>
      </c>
      <c r="F2016" s="2">
        <v>4.8</v>
      </c>
      <c r="G2016" s="2">
        <v>1.4</v>
      </c>
      <c r="H2016" s="2" t="str">
        <f>VLOOKUP(A2016,Holidays!$A$2:$B$2107,2,1)</f>
        <v>N</v>
      </c>
      <c r="I2016" s="2" t="str">
        <f>VLOOKUP(A2016,Holidays!$A$2:$C$2107,3,1)</f>
        <v>N</v>
      </c>
    </row>
    <row r="2017" spans="1:9" x14ac:dyDescent="0.45">
      <c r="A2017" s="1">
        <v>44020</v>
      </c>
      <c r="B2017">
        <v>138627.10999999999</v>
      </c>
      <c r="C2017">
        <v>80.388196890000003</v>
      </c>
      <c r="D2017" s="2">
        <v>4.9000000000000004</v>
      </c>
      <c r="E2017" s="2">
        <v>15.7</v>
      </c>
      <c r="F2017" s="2">
        <v>9.4</v>
      </c>
      <c r="G2017" s="2">
        <v>0</v>
      </c>
      <c r="H2017" s="2" t="str">
        <f>VLOOKUP(A2017,Holidays!$A$2:$B$2107,2,1)</f>
        <v>N</v>
      </c>
      <c r="I2017" s="2" t="str">
        <f>VLOOKUP(A2017,Holidays!$A$2:$C$2107,3,1)</f>
        <v>N</v>
      </c>
    </row>
    <row r="2018" spans="1:9" x14ac:dyDescent="0.45">
      <c r="A2018" s="1">
        <v>44021</v>
      </c>
      <c r="B2018">
        <v>135266.16500000001</v>
      </c>
      <c r="C2018">
        <v>70.716279909999997</v>
      </c>
      <c r="D2018" s="2">
        <v>5.7</v>
      </c>
      <c r="E2018" s="2">
        <v>17.2</v>
      </c>
      <c r="F2018" s="2">
        <v>8.5</v>
      </c>
      <c r="G2018" s="2">
        <v>0</v>
      </c>
      <c r="H2018" s="2" t="str">
        <f>VLOOKUP(A2018,Holidays!$A$2:$B$2107,2,1)</f>
        <v>N</v>
      </c>
      <c r="I2018" s="2" t="str">
        <f>VLOOKUP(A2018,Holidays!$A$2:$C$2107,3,1)</f>
        <v>N</v>
      </c>
    </row>
    <row r="2019" spans="1:9" x14ac:dyDescent="0.45">
      <c r="A2019" s="1">
        <v>44022</v>
      </c>
      <c r="B2019">
        <v>134041.23000000001</v>
      </c>
      <c r="C2019">
        <v>67.739880499999998</v>
      </c>
      <c r="D2019" s="2">
        <v>6.4</v>
      </c>
      <c r="E2019" s="2">
        <v>16.899999999999999</v>
      </c>
      <c r="F2019" s="2">
        <v>7.9</v>
      </c>
      <c r="G2019" s="2">
        <v>0</v>
      </c>
      <c r="H2019" s="2" t="str">
        <f>VLOOKUP(A2019,Holidays!$A$2:$B$2107,2,1)</f>
        <v>N</v>
      </c>
      <c r="I2019" s="2" t="str">
        <f>VLOOKUP(A2019,Holidays!$A$2:$C$2107,3,1)</f>
        <v>N</v>
      </c>
    </row>
    <row r="2020" spans="1:9" x14ac:dyDescent="0.45">
      <c r="A2020" s="1">
        <v>44023</v>
      </c>
      <c r="B2020">
        <v>130088.95</v>
      </c>
      <c r="C2020">
        <v>81.929884130000005</v>
      </c>
      <c r="D2020" s="2">
        <v>7.3</v>
      </c>
      <c r="E2020" s="2">
        <v>11.4</v>
      </c>
      <c r="F2020" s="2">
        <v>3.3</v>
      </c>
      <c r="G2020" s="2">
        <v>0</v>
      </c>
      <c r="H2020" s="2" t="str">
        <f>VLOOKUP(A2020,Holidays!$A$2:$B$2107,2,1)</f>
        <v>N</v>
      </c>
      <c r="I2020" s="2" t="str">
        <f>VLOOKUP(A2020,Holidays!$A$2:$C$2107,3,1)</f>
        <v>N</v>
      </c>
    </row>
    <row r="2021" spans="1:9" x14ac:dyDescent="0.45">
      <c r="A2021" s="1">
        <v>44024</v>
      </c>
      <c r="B2021">
        <v>118837.05</v>
      </c>
      <c r="C2021">
        <v>61.719482409999998</v>
      </c>
      <c r="D2021" s="2">
        <v>9</v>
      </c>
      <c r="E2021" s="2">
        <v>14.2</v>
      </c>
      <c r="F2021" s="2">
        <v>8.3000000000000007</v>
      </c>
      <c r="G2021" s="2">
        <v>6.8</v>
      </c>
      <c r="H2021" s="2" t="str">
        <f>VLOOKUP(A2021,Holidays!$A$2:$B$2107,2,1)</f>
        <v>N</v>
      </c>
      <c r="I2021" s="2" t="str">
        <f>VLOOKUP(A2021,Holidays!$A$2:$C$2107,3,1)</f>
        <v>N</v>
      </c>
    </row>
    <row r="2022" spans="1:9" x14ac:dyDescent="0.45">
      <c r="A2022" s="1">
        <v>44025</v>
      </c>
      <c r="B2022">
        <v>130119.41</v>
      </c>
      <c r="C2022">
        <v>61.123170360000003</v>
      </c>
      <c r="D2022" s="2">
        <v>8.6999999999999993</v>
      </c>
      <c r="E2022" s="2">
        <v>15.1</v>
      </c>
      <c r="F2022" s="2">
        <v>7.4</v>
      </c>
      <c r="G2022" s="2">
        <v>3.4</v>
      </c>
      <c r="H2022" s="2" t="str">
        <f>VLOOKUP(A2022,Holidays!$A$2:$B$2107,2,1)</f>
        <v>N</v>
      </c>
      <c r="I2022" s="2" t="str">
        <f>VLOOKUP(A2022,Holidays!$A$2:$C$2107,3,1)</f>
        <v>N</v>
      </c>
    </row>
    <row r="2023" spans="1:9" x14ac:dyDescent="0.45">
      <c r="A2023" s="1">
        <v>44026</v>
      </c>
      <c r="B2023">
        <v>133668.935</v>
      </c>
      <c r="C2023">
        <v>61.112336169999999</v>
      </c>
      <c r="D2023" s="2">
        <v>7.7</v>
      </c>
      <c r="E2023" s="2">
        <v>14.2</v>
      </c>
      <c r="F2023" s="2">
        <v>7.6</v>
      </c>
      <c r="G2023" s="2">
        <v>0</v>
      </c>
      <c r="H2023" s="2" t="str">
        <f>VLOOKUP(A2023,Holidays!$A$2:$B$2107,2,1)</f>
        <v>Y</v>
      </c>
      <c r="I2023" s="2" t="str">
        <f>VLOOKUP(A2023,Holidays!$A$2:$C$2107,3,1)</f>
        <v>N</v>
      </c>
    </row>
    <row r="2024" spans="1:9" x14ac:dyDescent="0.45">
      <c r="A2024" s="1">
        <v>44027</v>
      </c>
      <c r="B2024">
        <v>135296.79999999999</v>
      </c>
      <c r="C2024">
        <v>68.569810079999996</v>
      </c>
      <c r="D2024" s="2">
        <v>6.2</v>
      </c>
      <c r="E2024" s="2">
        <v>14.7</v>
      </c>
      <c r="F2024" s="2">
        <v>9.4</v>
      </c>
      <c r="G2024" s="2">
        <v>0.2</v>
      </c>
      <c r="H2024" s="2" t="str">
        <f>VLOOKUP(A2024,Holidays!$A$2:$B$2107,2,1)</f>
        <v>Y</v>
      </c>
      <c r="I2024" s="2" t="str">
        <f>VLOOKUP(A2024,Holidays!$A$2:$C$2107,3,1)</f>
        <v>N</v>
      </c>
    </row>
    <row r="2025" spans="1:9" x14ac:dyDescent="0.45">
      <c r="A2025" s="1">
        <v>44028</v>
      </c>
      <c r="B2025">
        <v>143158.89000000001</v>
      </c>
      <c r="C2025">
        <v>86.658216449999998</v>
      </c>
      <c r="D2025" s="2">
        <v>4.2</v>
      </c>
      <c r="E2025" s="2">
        <v>11.5</v>
      </c>
      <c r="F2025" s="2">
        <v>8.6999999999999993</v>
      </c>
      <c r="G2025" s="2">
        <v>0</v>
      </c>
      <c r="H2025" s="2" t="str">
        <f>VLOOKUP(A2025,Holidays!$A$2:$B$2107,2,1)</f>
        <v>Y</v>
      </c>
      <c r="I2025" s="2" t="str">
        <f>VLOOKUP(A2025,Holidays!$A$2:$C$2107,3,1)</f>
        <v>N</v>
      </c>
    </row>
    <row r="2026" spans="1:9" x14ac:dyDescent="0.45">
      <c r="A2026" s="1">
        <v>44029</v>
      </c>
      <c r="B2026">
        <v>143109.35500000001</v>
      </c>
      <c r="C2026">
        <v>73.815508410000007</v>
      </c>
      <c r="D2026" s="2">
        <v>3.1</v>
      </c>
      <c r="E2026" s="2">
        <v>12.8</v>
      </c>
      <c r="F2026" s="2">
        <v>7.4</v>
      </c>
      <c r="G2026" s="2">
        <v>0</v>
      </c>
      <c r="H2026" s="2" t="str">
        <f>VLOOKUP(A2026,Holidays!$A$2:$B$2107,2,1)</f>
        <v>Y</v>
      </c>
      <c r="I2026" s="2" t="str">
        <f>VLOOKUP(A2026,Holidays!$A$2:$C$2107,3,1)</f>
        <v>N</v>
      </c>
    </row>
    <row r="2027" spans="1:9" x14ac:dyDescent="0.45">
      <c r="A2027" s="1">
        <v>44030</v>
      </c>
      <c r="B2027">
        <v>125303.88499999999</v>
      </c>
      <c r="C2027">
        <v>43.53431853</v>
      </c>
      <c r="D2027" s="2">
        <v>4</v>
      </c>
      <c r="E2027" s="2">
        <v>12.5</v>
      </c>
      <c r="F2027" s="2">
        <v>8.3000000000000007</v>
      </c>
      <c r="G2027" s="2">
        <v>0</v>
      </c>
      <c r="H2027" s="2" t="str">
        <f>VLOOKUP(A2027,Holidays!$A$2:$B$2107,2,1)</f>
        <v>Y</v>
      </c>
      <c r="I2027" s="2" t="str">
        <f>VLOOKUP(A2027,Holidays!$A$2:$C$2107,3,1)</f>
        <v>N</v>
      </c>
    </row>
    <row r="2028" spans="1:9" x14ac:dyDescent="0.45">
      <c r="A2028" s="1">
        <v>44031</v>
      </c>
      <c r="B2028">
        <v>114065.32</v>
      </c>
      <c r="C2028">
        <v>31.208767980000001</v>
      </c>
      <c r="D2028" s="2">
        <v>8.1999999999999993</v>
      </c>
      <c r="E2028" s="2">
        <v>15.3</v>
      </c>
      <c r="F2028" s="2">
        <v>7.6</v>
      </c>
      <c r="G2028" s="2">
        <v>0</v>
      </c>
      <c r="H2028" s="2" t="str">
        <f>VLOOKUP(A2028,Holidays!$A$2:$B$2107,2,1)</f>
        <v>Y</v>
      </c>
      <c r="I2028" s="2" t="str">
        <f>VLOOKUP(A2028,Holidays!$A$2:$C$2107,3,1)</f>
        <v>N</v>
      </c>
    </row>
    <row r="2029" spans="1:9" x14ac:dyDescent="0.45">
      <c r="A2029" s="1">
        <v>44032</v>
      </c>
      <c r="B2029">
        <v>132894.41</v>
      </c>
      <c r="C2029">
        <v>58.020119719999997</v>
      </c>
      <c r="D2029" s="2">
        <v>7.6</v>
      </c>
      <c r="E2029" s="2">
        <v>13.8</v>
      </c>
      <c r="F2029" s="2">
        <v>8.1999999999999993</v>
      </c>
      <c r="G2029" s="2">
        <v>0.6</v>
      </c>
      <c r="H2029" s="2" t="str">
        <f>VLOOKUP(A2029,Holidays!$A$2:$B$2107,2,1)</f>
        <v>Y</v>
      </c>
      <c r="I2029" s="2" t="str">
        <f>VLOOKUP(A2029,Holidays!$A$2:$C$2107,3,1)</f>
        <v>N</v>
      </c>
    </row>
    <row r="2030" spans="1:9" x14ac:dyDescent="0.45">
      <c r="A2030" s="1">
        <v>44033</v>
      </c>
      <c r="B2030">
        <v>140086.10500000001</v>
      </c>
      <c r="C2030">
        <v>95.137779660000007</v>
      </c>
      <c r="D2030" s="2">
        <v>7.2</v>
      </c>
      <c r="E2030" s="2">
        <v>12.9</v>
      </c>
      <c r="F2030" s="2">
        <v>8.1</v>
      </c>
      <c r="G2030" s="2">
        <v>0.4</v>
      </c>
      <c r="H2030" s="2" t="str">
        <f>VLOOKUP(A2030,Holidays!$A$2:$B$2107,2,1)</f>
        <v>Y</v>
      </c>
      <c r="I2030" s="2" t="str">
        <f>VLOOKUP(A2030,Holidays!$A$2:$C$2107,3,1)</f>
        <v>N</v>
      </c>
    </row>
    <row r="2031" spans="1:9" x14ac:dyDescent="0.45">
      <c r="A2031" s="1">
        <v>44034</v>
      </c>
      <c r="B2031">
        <v>138666.10500000001</v>
      </c>
      <c r="C2031">
        <v>93.875030289999998</v>
      </c>
      <c r="D2031" s="2">
        <v>8.1</v>
      </c>
      <c r="E2031" s="2">
        <v>13.3</v>
      </c>
      <c r="F2031" s="2">
        <v>8.4</v>
      </c>
      <c r="G2031" s="2">
        <v>0</v>
      </c>
      <c r="H2031" s="2" t="str">
        <f>VLOOKUP(A2031,Holidays!$A$2:$B$2107,2,1)</f>
        <v>Y</v>
      </c>
      <c r="I2031" s="2" t="str">
        <f>VLOOKUP(A2031,Holidays!$A$2:$C$2107,3,1)</f>
        <v>N</v>
      </c>
    </row>
    <row r="2032" spans="1:9" x14ac:dyDescent="0.45">
      <c r="A2032" s="1">
        <v>44035</v>
      </c>
      <c r="B2032">
        <v>142476.36499999999</v>
      </c>
      <c r="C2032">
        <v>103.9160215</v>
      </c>
      <c r="D2032" s="2">
        <v>8.1</v>
      </c>
      <c r="E2032" s="2">
        <v>12</v>
      </c>
      <c r="F2032" s="2">
        <v>7.5</v>
      </c>
      <c r="G2032" s="2">
        <v>2.2000000000000002</v>
      </c>
      <c r="H2032" s="2" t="str">
        <f>VLOOKUP(A2032,Holidays!$A$2:$B$2107,2,1)</f>
        <v>Y</v>
      </c>
      <c r="I2032" s="2" t="str">
        <f>VLOOKUP(A2032,Holidays!$A$2:$C$2107,3,1)</f>
        <v>N</v>
      </c>
    </row>
    <row r="2033" spans="1:9" x14ac:dyDescent="0.45">
      <c r="A2033" s="1">
        <v>44036</v>
      </c>
      <c r="B2033">
        <v>133822.70000000001</v>
      </c>
      <c r="C2033">
        <v>61.449140040000003</v>
      </c>
      <c r="D2033" s="2">
        <v>6.1</v>
      </c>
      <c r="E2033" s="2">
        <v>13.5</v>
      </c>
      <c r="F2033" s="2">
        <v>10.5</v>
      </c>
      <c r="G2033" s="2">
        <v>0</v>
      </c>
      <c r="H2033" s="2" t="str">
        <f>VLOOKUP(A2033,Holidays!$A$2:$B$2107,2,1)</f>
        <v>Y</v>
      </c>
      <c r="I2033" s="2" t="str">
        <f>VLOOKUP(A2033,Holidays!$A$2:$C$2107,3,1)</f>
        <v>N</v>
      </c>
    </row>
    <row r="2034" spans="1:9" x14ac:dyDescent="0.45">
      <c r="A2034" s="1">
        <v>44037</v>
      </c>
      <c r="B2034">
        <v>128417.22</v>
      </c>
      <c r="C2034">
        <v>72.083011600000006</v>
      </c>
      <c r="D2034" s="2">
        <v>4.3</v>
      </c>
      <c r="E2034" s="2">
        <v>12.2</v>
      </c>
      <c r="F2034" s="2">
        <v>9.6</v>
      </c>
      <c r="G2034" s="2">
        <v>0</v>
      </c>
      <c r="H2034" s="2" t="str">
        <f>VLOOKUP(A2034,Holidays!$A$2:$B$2107,2,1)</f>
        <v>Y</v>
      </c>
      <c r="I2034" s="2" t="str">
        <f>VLOOKUP(A2034,Holidays!$A$2:$C$2107,3,1)</f>
        <v>N</v>
      </c>
    </row>
    <row r="2035" spans="1:9" x14ac:dyDescent="0.45">
      <c r="A2035" s="1">
        <v>44038</v>
      </c>
      <c r="B2035">
        <v>123014.55499999999</v>
      </c>
      <c r="C2035">
        <v>69.922829460000003</v>
      </c>
      <c r="D2035" s="2">
        <v>5</v>
      </c>
      <c r="E2035" s="2">
        <v>12.8</v>
      </c>
      <c r="F2035" s="2">
        <v>7.2</v>
      </c>
      <c r="G2035" s="2">
        <v>0</v>
      </c>
      <c r="H2035" s="2" t="str">
        <f>VLOOKUP(A2035,Holidays!$A$2:$B$2107,2,1)</f>
        <v>Y</v>
      </c>
      <c r="I2035" s="2" t="str">
        <f>VLOOKUP(A2035,Holidays!$A$2:$C$2107,3,1)</f>
        <v>N</v>
      </c>
    </row>
    <row r="2036" spans="1:9" x14ac:dyDescent="0.45">
      <c r="A2036" s="1">
        <v>44039</v>
      </c>
      <c r="B2036">
        <v>132571.32999999999</v>
      </c>
      <c r="C2036">
        <v>59.486426420000001</v>
      </c>
      <c r="D2036" s="2">
        <v>7.4</v>
      </c>
      <c r="E2036" s="2">
        <v>13.5</v>
      </c>
      <c r="F2036" s="2">
        <v>7.3</v>
      </c>
      <c r="G2036" s="2">
        <v>0</v>
      </c>
      <c r="H2036" s="2" t="str">
        <f>VLOOKUP(A2036,Holidays!$A$2:$B$2107,2,1)</f>
        <v>Y</v>
      </c>
      <c r="I2036" s="2" t="str">
        <f>VLOOKUP(A2036,Holidays!$A$2:$C$2107,3,1)</f>
        <v>N</v>
      </c>
    </row>
    <row r="2037" spans="1:9" x14ac:dyDescent="0.45">
      <c r="A2037" s="1">
        <v>44040</v>
      </c>
      <c r="B2037">
        <v>132720.39499999999</v>
      </c>
      <c r="C2037">
        <v>59.044778479999998</v>
      </c>
      <c r="D2037" s="2">
        <v>9.6</v>
      </c>
      <c r="E2037" s="2">
        <v>15.6</v>
      </c>
      <c r="F2037" s="2">
        <v>8</v>
      </c>
      <c r="G2037" s="2">
        <v>0.4</v>
      </c>
      <c r="H2037" s="2" t="str">
        <f>VLOOKUP(A2037,Holidays!$A$2:$B$2107,2,1)</f>
        <v>Y</v>
      </c>
      <c r="I2037" s="2" t="str">
        <f>VLOOKUP(A2037,Holidays!$A$2:$C$2107,3,1)</f>
        <v>N</v>
      </c>
    </row>
    <row r="2038" spans="1:9" x14ac:dyDescent="0.45">
      <c r="A2038" s="1">
        <v>44041</v>
      </c>
      <c r="B2038">
        <v>130547.735</v>
      </c>
      <c r="C2038">
        <v>67.529831630000004</v>
      </c>
      <c r="D2038" s="2">
        <v>8.6</v>
      </c>
      <c r="E2038" s="2">
        <v>16.3</v>
      </c>
      <c r="F2038" s="2">
        <v>9</v>
      </c>
      <c r="G2038" s="2">
        <v>0</v>
      </c>
      <c r="H2038" s="2" t="str">
        <f>VLOOKUP(A2038,Holidays!$A$2:$B$2107,2,1)</f>
        <v>Y</v>
      </c>
      <c r="I2038" s="2" t="str">
        <f>VLOOKUP(A2038,Holidays!$A$2:$C$2107,3,1)</f>
        <v>N</v>
      </c>
    </row>
    <row r="2039" spans="1:9" x14ac:dyDescent="0.45">
      <c r="A2039" s="1">
        <v>44042</v>
      </c>
      <c r="B2039">
        <v>132583.64000000001</v>
      </c>
      <c r="C2039">
        <v>63.223218019999997</v>
      </c>
      <c r="D2039" s="2">
        <v>8</v>
      </c>
      <c r="E2039" s="2">
        <v>14.2</v>
      </c>
      <c r="F2039" s="2">
        <v>11.3</v>
      </c>
      <c r="G2039" s="2">
        <v>0</v>
      </c>
      <c r="H2039" s="2" t="str">
        <f>VLOOKUP(A2039,Holidays!$A$2:$B$2107,2,1)</f>
        <v>Y</v>
      </c>
      <c r="I2039" s="2" t="str">
        <f>VLOOKUP(A2039,Holidays!$A$2:$C$2107,3,1)</f>
        <v>N</v>
      </c>
    </row>
    <row r="2040" spans="1:9" x14ac:dyDescent="0.45">
      <c r="A2040" s="1">
        <v>44043</v>
      </c>
      <c r="B2040">
        <v>132105.75</v>
      </c>
      <c r="C2040">
        <v>73.082276160000006</v>
      </c>
      <c r="D2040" s="2">
        <v>3.4</v>
      </c>
      <c r="E2040" s="2">
        <v>17.100000000000001</v>
      </c>
      <c r="F2040" s="2">
        <v>11.3</v>
      </c>
      <c r="G2040" s="2">
        <v>0</v>
      </c>
      <c r="H2040" s="2" t="str">
        <f>VLOOKUP(A2040,Holidays!$A$2:$B$2107,2,1)</f>
        <v>Y</v>
      </c>
      <c r="I2040" s="2" t="str">
        <f>VLOOKUP(A2040,Holidays!$A$2:$C$2107,3,1)</f>
        <v>N</v>
      </c>
    </row>
    <row r="2041" spans="1:9" x14ac:dyDescent="0.45">
      <c r="A2041" s="1">
        <v>44044</v>
      </c>
      <c r="B2041">
        <v>111590.65</v>
      </c>
      <c r="C2041">
        <v>47.91589475</v>
      </c>
      <c r="D2041" s="2">
        <v>5.7</v>
      </c>
      <c r="E2041" s="2">
        <v>16.399999999999999</v>
      </c>
      <c r="F2041" s="2">
        <v>11.1</v>
      </c>
      <c r="G2041" s="2">
        <v>0</v>
      </c>
      <c r="H2041" s="2" t="str">
        <f>VLOOKUP(A2041,Holidays!$A$2:$B$2107,2,1)</f>
        <v>Y</v>
      </c>
      <c r="I2041" s="2" t="str">
        <f>VLOOKUP(A2041,Holidays!$A$2:$C$2107,3,1)</f>
        <v>N</v>
      </c>
    </row>
    <row r="2042" spans="1:9" x14ac:dyDescent="0.45">
      <c r="A2042" s="1">
        <v>44045</v>
      </c>
      <c r="B2042">
        <v>109935.33500000001</v>
      </c>
      <c r="C2042">
        <v>50.247956979999998</v>
      </c>
      <c r="D2042" s="2">
        <v>9</v>
      </c>
      <c r="E2042" s="2">
        <v>18.2</v>
      </c>
      <c r="F2042" s="2">
        <v>11.7</v>
      </c>
      <c r="G2042" s="2">
        <v>0</v>
      </c>
      <c r="H2042" s="2" t="str">
        <f>VLOOKUP(A2042,Holidays!$A$2:$B$2107,2,1)</f>
        <v>Y</v>
      </c>
      <c r="I2042" s="2" t="str">
        <f>VLOOKUP(A2042,Holidays!$A$2:$C$2107,3,1)</f>
        <v>N</v>
      </c>
    </row>
    <row r="2043" spans="1:9" x14ac:dyDescent="0.45">
      <c r="A2043" s="1">
        <v>44046</v>
      </c>
      <c r="B2043">
        <v>127930.355</v>
      </c>
      <c r="C2043">
        <v>47.688971700000003</v>
      </c>
      <c r="D2043" s="2">
        <v>7.5</v>
      </c>
      <c r="E2043" s="2">
        <v>16</v>
      </c>
      <c r="F2043" s="2">
        <v>10.199999999999999</v>
      </c>
      <c r="G2043" s="2">
        <v>0</v>
      </c>
      <c r="H2043" s="2" t="str">
        <f>VLOOKUP(A2043,Holidays!$A$2:$B$2107,2,1)</f>
        <v>Y</v>
      </c>
      <c r="I2043" s="2" t="str">
        <f>VLOOKUP(A2043,Holidays!$A$2:$C$2107,3,1)</f>
        <v>N</v>
      </c>
    </row>
    <row r="2044" spans="1:9" x14ac:dyDescent="0.45">
      <c r="A2044" s="1">
        <v>44047</v>
      </c>
      <c r="B2044">
        <v>140042.14499999999</v>
      </c>
      <c r="C2044">
        <v>49.18959504</v>
      </c>
      <c r="D2044" s="2">
        <v>5.0999999999999996</v>
      </c>
      <c r="E2044" s="2">
        <v>10.5</v>
      </c>
      <c r="F2044" s="2">
        <v>10</v>
      </c>
      <c r="G2044" s="2">
        <v>1.2</v>
      </c>
      <c r="H2044" s="2" t="str">
        <f>VLOOKUP(A2044,Holidays!$A$2:$B$2107,2,1)</f>
        <v>N</v>
      </c>
      <c r="I2044" s="2" t="str">
        <f>VLOOKUP(A2044,Holidays!$A$2:$C$2107,3,1)</f>
        <v>N</v>
      </c>
    </row>
    <row r="2045" spans="1:9" x14ac:dyDescent="0.45">
      <c r="A2045" s="1">
        <v>44048</v>
      </c>
      <c r="B2045">
        <v>140205.29500000001</v>
      </c>
      <c r="C2045">
        <v>55.464714379999997</v>
      </c>
      <c r="D2045" s="2">
        <v>4.7</v>
      </c>
      <c r="E2045" s="2">
        <v>11.3</v>
      </c>
      <c r="F2045" s="2">
        <v>9.6</v>
      </c>
      <c r="G2045" s="2">
        <v>5.8</v>
      </c>
      <c r="H2045" s="2" t="str">
        <f>VLOOKUP(A2045,Holidays!$A$2:$B$2107,2,1)</f>
        <v>N</v>
      </c>
      <c r="I2045" s="2" t="str">
        <f>VLOOKUP(A2045,Holidays!$A$2:$C$2107,3,1)</f>
        <v>N</v>
      </c>
    </row>
    <row r="2046" spans="1:9" x14ac:dyDescent="0.45">
      <c r="A2046" s="1">
        <v>44049</v>
      </c>
      <c r="B2046">
        <v>140835.17499999999</v>
      </c>
      <c r="C2046">
        <v>69.433709239999999</v>
      </c>
      <c r="D2046" s="2">
        <v>5.5</v>
      </c>
      <c r="E2046" s="2">
        <v>12.8</v>
      </c>
      <c r="F2046" s="2">
        <v>10.8</v>
      </c>
      <c r="G2046" s="2">
        <v>0.8</v>
      </c>
      <c r="H2046" s="2" t="str">
        <f>VLOOKUP(A2046,Holidays!$A$2:$B$2107,2,1)</f>
        <v>N</v>
      </c>
      <c r="I2046" s="2" t="str">
        <f>VLOOKUP(A2046,Holidays!$A$2:$C$2107,3,1)</f>
        <v>N</v>
      </c>
    </row>
    <row r="2047" spans="1:9" x14ac:dyDescent="0.45">
      <c r="A2047" s="1">
        <v>44050</v>
      </c>
      <c r="B2047">
        <v>144062.60999999999</v>
      </c>
      <c r="C2047">
        <v>60.119431980000002</v>
      </c>
      <c r="D2047" s="2">
        <v>3.3</v>
      </c>
      <c r="E2047" s="2">
        <v>12.7</v>
      </c>
      <c r="F2047" s="2">
        <v>5.8</v>
      </c>
      <c r="G2047" s="2">
        <v>0</v>
      </c>
      <c r="H2047" s="2" t="str">
        <f>VLOOKUP(A2047,Holidays!$A$2:$B$2107,2,1)</f>
        <v>N</v>
      </c>
      <c r="I2047" s="2" t="str">
        <f>VLOOKUP(A2047,Holidays!$A$2:$C$2107,3,1)</f>
        <v>N</v>
      </c>
    </row>
    <row r="2048" spans="1:9" x14ac:dyDescent="0.45">
      <c r="A2048" s="1">
        <v>44051</v>
      </c>
      <c r="B2048">
        <v>121119.265</v>
      </c>
      <c r="C2048">
        <v>53.518660969999999</v>
      </c>
      <c r="D2048" s="2">
        <v>4.7</v>
      </c>
      <c r="E2048" s="2">
        <v>14.9</v>
      </c>
      <c r="F2048" s="2">
        <v>7.2</v>
      </c>
      <c r="G2048" s="2">
        <v>6.8</v>
      </c>
      <c r="H2048" s="2" t="str">
        <f>VLOOKUP(A2048,Holidays!$A$2:$B$2107,2,1)</f>
        <v>N</v>
      </c>
      <c r="I2048" s="2" t="str">
        <f>VLOOKUP(A2048,Holidays!$A$2:$C$2107,3,1)</f>
        <v>N</v>
      </c>
    </row>
    <row r="2049" spans="1:9" x14ac:dyDescent="0.45">
      <c r="A2049" s="1">
        <v>44052</v>
      </c>
      <c r="B2049">
        <v>111165.955</v>
      </c>
      <c r="C2049">
        <v>45.522171190000002</v>
      </c>
      <c r="D2049" s="2">
        <v>8.9</v>
      </c>
      <c r="E2049" s="2">
        <v>15.8</v>
      </c>
      <c r="F2049" s="2">
        <v>10.199999999999999</v>
      </c>
      <c r="G2049" s="2">
        <v>0.2</v>
      </c>
      <c r="H2049" s="2" t="str">
        <f>VLOOKUP(A2049,Holidays!$A$2:$B$2107,2,1)</f>
        <v>N</v>
      </c>
      <c r="I2049" s="2" t="str">
        <f>VLOOKUP(A2049,Holidays!$A$2:$C$2107,3,1)</f>
        <v>N</v>
      </c>
    </row>
    <row r="2050" spans="1:9" x14ac:dyDescent="0.45">
      <c r="A2050" s="1">
        <v>44053</v>
      </c>
      <c r="B2050">
        <v>125959.75</v>
      </c>
      <c r="C2050">
        <v>53.420434520000001</v>
      </c>
      <c r="D2050" s="2">
        <v>5.7</v>
      </c>
      <c r="E2050" s="2">
        <v>14.8</v>
      </c>
      <c r="F2050" s="2">
        <v>12.7</v>
      </c>
      <c r="G2050" s="2">
        <v>0</v>
      </c>
      <c r="H2050" s="2" t="str">
        <f>VLOOKUP(A2050,Holidays!$A$2:$B$2107,2,1)</f>
        <v>N</v>
      </c>
      <c r="I2050" s="2" t="str">
        <f>VLOOKUP(A2050,Holidays!$A$2:$C$2107,3,1)</f>
        <v>N</v>
      </c>
    </row>
    <row r="2051" spans="1:9" x14ac:dyDescent="0.45">
      <c r="A2051" s="1">
        <v>44054</v>
      </c>
      <c r="B2051">
        <v>130141.22500000001</v>
      </c>
      <c r="C2051">
        <v>42.328651729999997</v>
      </c>
      <c r="D2051" s="2">
        <v>4.3</v>
      </c>
      <c r="E2051" s="2">
        <v>15.8</v>
      </c>
      <c r="F2051" s="2">
        <v>10.3</v>
      </c>
      <c r="G2051" s="2">
        <v>0</v>
      </c>
      <c r="H2051" s="2" t="str">
        <f>VLOOKUP(A2051,Holidays!$A$2:$B$2107,2,1)</f>
        <v>N</v>
      </c>
      <c r="I2051" s="2" t="str">
        <f>VLOOKUP(A2051,Holidays!$A$2:$C$2107,3,1)</f>
        <v>N</v>
      </c>
    </row>
    <row r="2052" spans="1:9" x14ac:dyDescent="0.45">
      <c r="A2052" s="1">
        <v>44055</v>
      </c>
      <c r="B2052">
        <v>127945.31</v>
      </c>
      <c r="C2052">
        <v>58.629007379999997</v>
      </c>
      <c r="D2052" s="2">
        <v>9.4</v>
      </c>
      <c r="E2052" s="2">
        <v>15.9</v>
      </c>
      <c r="F2052" s="2">
        <v>10</v>
      </c>
      <c r="G2052" s="2">
        <v>0.8</v>
      </c>
      <c r="H2052" s="2" t="str">
        <f>VLOOKUP(A2052,Holidays!$A$2:$B$2107,2,1)</f>
        <v>N</v>
      </c>
      <c r="I2052" s="2" t="str">
        <f>VLOOKUP(A2052,Holidays!$A$2:$C$2107,3,1)</f>
        <v>N</v>
      </c>
    </row>
    <row r="2053" spans="1:9" x14ac:dyDescent="0.45">
      <c r="A2053" s="1">
        <v>44056</v>
      </c>
      <c r="B2053">
        <v>121914.44</v>
      </c>
      <c r="C2053">
        <v>52.320157879999996</v>
      </c>
      <c r="D2053" s="2">
        <v>11.4</v>
      </c>
      <c r="E2053" s="2">
        <v>18.100000000000001</v>
      </c>
      <c r="F2053" s="2">
        <v>11</v>
      </c>
      <c r="G2053" s="2">
        <v>1.2</v>
      </c>
      <c r="H2053" s="2" t="str">
        <f>VLOOKUP(A2053,Holidays!$A$2:$B$2107,2,1)</f>
        <v>N</v>
      </c>
      <c r="I2053" s="2" t="str">
        <f>VLOOKUP(A2053,Holidays!$A$2:$C$2107,3,1)</f>
        <v>N</v>
      </c>
    </row>
    <row r="2054" spans="1:9" x14ac:dyDescent="0.45">
      <c r="A2054" s="1">
        <v>44057</v>
      </c>
      <c r="B2054">
        <v>124640.09</v>
      </c>
      <c r="C2054">
        <v>69.84183616</v>
      </c>
      <c r="D2054" s="2">
        <v>10.7</v>
      </c>
      <c r="E2054" s="2">
        <v>18.100000000000001</v>
      </c>
      <c r="F2054" s="2">
        <v>7</v>
      </c>
      <c r="G2054" s="2">
        <v>0.8</v>
      </c>
      <c r="H2054" s="2" t="str">
        <f>VLOOKUP(A2054,Holidays!$A$2:$B$2107,2,1)</f>
        <v>N</v>
      </c>
      <c r="I2054" s="2" t="str">
        <f>VLOOKUP(A2054,Holidays!$A$2:$C$2107,3,1)</f>
        <v>N</v>
      </c>
    </row>
    <row r="2055" spans="1:9" x14ac:dyDescent="0.45">
      <c r="A2055" s="1">
        <v>44058</v>
      </c>
      <c r="B2055">
        <v>113755.18</v>
      </c>
      <c r="C2055">
        <v>52.515043290000001</v>
      </c>
      <c r="D2055" s="2">
        <v>7.4</v>
      </c>
      <c r="E2055" s="2">
        <v>14.9</v>
      </c>
      <c r="F2055" s="2">
        <v>13</v>
      </c>
      <c r="G2055" s="2">
        <v>2.8</v>
      </c>
      <c r="H2055" s="2" t="str">
        <f>VLOOKUP(A2055,Holidays!$A$2:$B$2107,2,1)</f>
        <v>N</v>
      </c>
      <c r="I2055" s="2" t="str">
        <f>VLOOKUP(A2055,Holidays!$A$2:$C$2107,3,1)</f>
        <v>N</v>
      </c>
    </row>
    <row r="2056" spans="1:9" x14ac:dyDescent="0.45">
      <c r="A2056" s="1">
        <v>44059</v>
      </c>
      <c r="B2056">
        <v>111034.745</v>
      </c>
      <c r="C2056">
        <v>58.425198999999999</v>
      </c>
      <c r="D2056" s="2">
        <v>10.7</v>
      </c>
      <c r="E2056" s="2">
        <v>15</v>
      </c>
      <c r="F2056" s="2">
        <v>9.9</v>
      </c>
      <c r="G2056" s="2">
        <v>0.4</v>
      </c>
      <c r="H2056" s="2" t="str">
        <f>VLOOKUP(A2056,Holidays!$A$2:$B$2107,2,1)</f>
        <v>N</v>
      </c>
      <c r="I2056" s="2" t="str">
        <f>VLOOKUP(A2056,Holidays!$A$2:$C$2107,3,1)</f>
        <v>N</v>
      </c>
    </row>
    <row r="2057" spans="1:9" x14ac:dyDescent="0.45">
      <c r="A2057" s="1">
        <v>44060</v>
      </c>
      <c r="B2057">
        <v>121520.57</v>
      </c>
      <c r="C2057">
        <v>60.710572059999997</v>
      </c>
      <c r="D2057" s="2">
        <v>9.5</v>
      </c>
      <c r="E2057" s="2">
        <v>16.3</v>
      </c>
      <c r="F2057" s="2">
        <v>10.4</v>
      </c>
      <c r="G2057" s="2">
        <v>0</v>
      </c>
      <c r="H2057" s="2" t="str">
        <f>VLOOKUP(A2057,Holidays!$A$2:$B$2107,2,1)</f>
        <v>N</v>
      </c>
      <c r="I2057" s="2" t="str">
        <f>VLOOKUP(A2057,Holidays!$A$2:$C$2107,3,1)</f>
        <v>N</v>
      </c>
    </row>
    <row r="2058" spans="1:9" x14ac:dyDescent="0.45">
      <c r="A2058" s="1">
        <v>44061</v>
      </c>
      <c r="B2058">
        <v>119321.855</v>
      </c>
      <c r="C2058">
        <v>44.024165019999998</v>
      </c>
      <c r="D2058" s="2">
        <v>10</v>
      </c>
      <c r="E2058" s="2">
        <v>17.2</v>
      </c>
      <c r="F2058" s="2">
        <v>11.2</v>
      </c>
      <c r="G2058" s="2">
        <v>0.2</v>
      </c>
      <c r="H2058" s="2" t="str">
        <f>VLOOKUP(A2058,Holidays!$A$2:$B$2107,2,1)</f>
        <v>N</v>
      </c>
      <c r="I2058" s="2" t="str">
        <f>VLOOKUP(A2058,Holidays!$A$2:$C$2107,3,1)</f>
        <v>N</v>
      </c>
    </row>
    <row r="2059" spans="1:9" x14ac:dyDescent="0.45">
      <c r="A2059" s="1">
        <v>44062</v>
      </c>
      <c r="B2059">
        <v>129884.75</v>
      </c>
      <c r="C2059">
        <v>62.123207630000003</v>
      </c>
      <c r="D2059" s="2">
        <v>9.6999999999999993</v>
      </c>
      <c r="E2059" s="2">
        <v>12.7</v>
      </c>
      <c r="F2059" s="2">
        <v>7.9</v>
      </c>
      <c r="G2059" s="2">
        <v>1.2</v>
      </c>
      <c r="H2059" s="2" t="str">
        <f>VLOOKUP(A2059,Holidays!$A$2:$B$2107,2,1)</f>
        <v>N</v>
      </c>
      <c r="I2059" s="2" t="str">
        <f>VLOOKUP(A2059,Holidays!$A$2:$C$2107,3,1)</f>
        <v>N</v>
      </c>
    </row>
    <row r="2060" spans="1:9" x14ac:dyDescent="0.45">
      <c r="A2060" s="1">
        <v>44063</v>
      </c>
      <c r="B2060">
        <v>123490.855</v>
      </c>
      <c r="C2060">
        <v>54.113552679999998</v>
      </c>
      <c r="D2060" s="2">
        <v>9.6</v>
      </c>
      <c r="E2060" s="2">
        <v>15.7</v>
      </c>
      <c r="F2060" s="2">
        <v>9.6</v>
      </c>
      <c r="G2060" s="2">
        <v>3.8</v>
      </c>
      <c r="H2060" s="2" t="str">
        <f>VLOOKUP(A2060,Holidays!$A$2:$B$2107,2,1)</f>
        <v>N</v>
      </c>
      <c r="I2060" s="2" t="str">
        <f>VLOOKUP(A2060,Holidays!$A$2:$C$2107,3,1)</f>
        <v>N</v>
      </c>
    </row>
    <row r="2061" spans="1:9" x14ac:dyDescent="0.45">
      <c r="A2061" s="1">
        <v>44064</v>
      </c>
      <c r="B2061">
        <v>125707.04</v>
      </c>
      <c r="C2061">
        <v>48.508304879999997</v>
      </c>
      <c r="D2061" s="2">
        <v>8.5</v>
      </c>
      <c r="E2061" s="2">
        <v>14.1</v>
      </c>
      <c r="F2061" s="2">
        <v>12.2</v>
      </c>
      <c r="G2061" s="2">
        <v>0.4</v>
      </c>
      <c r="H2061" s="2" t="str">
        <f>VLOOKUP(A2061,Holidays!$A$2:$B$2107,2,1)</f>
        <v>N</v>
      </c>
      <c r="I2061" s="2" t="str">
        <f>VLOOKUP(A2061,Holidays!$A$2:$C$2107,3,1)</f>
        <v>N</v>
      </c>
    </row>
    <row r="2062" spans="1:9" x14ac:dyDescent="0.45">
      <c r="A2062" s="1">
        <v>44065</v>
      </c>
      <c r="B2062">
        <v>127131.37</v>
      </c>
      <c r="C2062">
        <v>56.065490250000003</v>
      </c>
      <c r="D2062" s="2">
        <v>5.8</v>
      </c>
      <c r="E2062" s="2">
        <v>11.1</v>
      </c>
      <c r="F2062" s="2">
        <v>3.8</v>
      </c>
      <c r="G2062" s="2">
        <v>4.4000000000000004</v>
      </c>
      <c r="H2062" s="2" t="str">
        <f>VLOOKUP(A2062,Holidays!$A$2:$B$2107,2,1)</f>
        <v>N</v>
      </c>
      <c r="I2062" s="2" t="str">
        <f>VLOOKUP(A2062,Holidays!$A$2:$C$2107,3,1)</f>
        <v>N</v>
      </c>
    </row>
    <row r="2063" spans="1:9" x14ac:dyDescent="0.45">
      <c r="A2063" s="1">
        <v>44066</v>
      </c>
      <c r="B2063">
        <v>117125.065</v>
      </c>
      <c r="C2063">
        <v>53.937950839999999</v>
      </c>
      <c r="D2063" s="2">
        <v>6.8</v>
      </c>
      <c r="E2063" s="2">
        <v>11.5</v>
      </c>
      <c r="F2063" s="2">
        <v>8.6</v>
      </c>
      <c r="G2063" s="2">
        <v>25.6</v>
      </c>
      <c r="H2063" s="2" t="str">
        <f>VLOOKUP(A2063,Holidays!$A$2:$B$2107,2,1)</f>
        <v>N</v>
      </c>
      <c r="I2063" s="2" t="str">
        <f>VLOOKUP(A2063,Holidays!$A$2:$C$2107,3,1)</f>
        <v>N</v>
      </c>
    </row>
    <row r="2064" spans="1:9" x14ac:dyDescent="0.45">
      <c r="A2064" s="1">
        <v>44067</v>
      </c>
      <c r="B2064">
        <v>134984.79</v>
      </c>
      <c r="C2064">
        <v>134.48842210000001</v>
      </c>
      <c r="D2064" s="2">
        <v>6.3</v>
      </c>
      <c r="E2064" s="2">
        <v>12.4</v>
      </c>
      <c r="F2064" s="2">
        <v>12.8</v>
      </c>
      <c r="G2064" s="2">
        <v>2.8</v>
      </c>
      <c r="H2064" s="2" t="str">
        <f>VLOOKUP(A2064,Holidays!$A$2:$B$2107,2,1)</f>
        <v>N</v>
      </c>
      <c r="I2064" s="2" t="str">
        <f>VLOOKUP(A2064,Holidays!$A$2:$C$2107,3,1)</f>
        <v>N</v>
      </c>
    </row>
    <row r="2065" spans="1:9" x14ac:dyDescent="0.45">
      <c r="A2065" s="1">
        <v>44068</v>
      </c>
      <c r="B2065">
        <v>138437.85500000001</v>
      </c>
      <c r="C2065">
        <v>82.744212959999999</v>
      </c>
      <c r="D2065" s="2">
        <v>3.6</v>
      </c>
      <c r="E2065" s="2">
        <v>13</v>
      </c>
      <c r="F2065" s="2">
        <v>11.2</v>
      </c>
      <c r="G2065" s="2">
        <v>0</v>
      </c>
      <c r="H2065" s="2" t="str">
        <f>VLOOKUP(A2065,Holidays!$A$2:$B$2107,2,1)</f>
        <v>N</v>
      </c>
      <c r="I2065" s="2" t="str">
        <f>VLOOKUP(A2065,Holidays!$A$2:$C$2107,3,1)</f>
        <v>N</v>
      </c>
    </row>
    <row r="2066" spans="1:9" x14ac:dyDescent="0.45">
      <c r="A2066" s="1">
        <v>44069</v>
      </c>
      <c r="B2066">
        <v>129322.31</v>
      </c>
      <c r="C2066">
        <v>90.666887799999998</v>
      </c>
      <c r="D2066" s="2">
        <v>6.1</v>
      </c>
      <c r="E2066" s="2">
        <v>14.5</v>
      </c>
      <c r="F2066" s="2">
        <v>12.8</v>
      </c>
      <c r="G2066" s="2">
        <v>0</v>
      </c>
      <c r="H2066" s="2" t="str">
        <f>VLOOKUP(A2066,Holidays!$A$2:$B$2107,2,1)</f>
        <v>N</v>
      </c>
      <c r="I2066" s="2" t="str">
        <f>VLOOKUP(A2066,Holidays!$A$2:$C$2107,3,1)</f>
        <v>N</v>
      </c>
    </row>
    <row r="2067" spans="1:9" x14ac:dyDescent="0.45">
      <c r="A2067" s="1">
        <v>44070</v>
      </c>
      <c r="B2067">
        <v>119044.425</v>
      </c>
      <c r="C2067">
        <v>45.564373940000003</v>
      </c>
      <c r="D2067" s="2">
        <v>8.8000000000000007</v>
      </c>
      <c r="E2067" s="2">
        <v>20.7</v>
      </c>
      <c r="F2067" s="2">
        <v>13.1</v>
      </c>
      <c r="G2067" s="2">
        <v>0</v>
      </c>
      <c r="H2067" s="2" t="str">
        <f>VLOOKUP(A2067,Holidays!$A$2:$B$2107,2,1)</f>
        <v>N</v>
      </c>
      <c r="I2067" s="2" t="str">
        <f>VLOOKUP(A2067,Holidays!$A$2:$C$2107,3,1)</f>
        <v>N</v>
      </c>
    </row>
    <row r="2068" spans="1:9" x14ac:dyDescent="0.45">
      <c r="A2068" s="1">
        <v>44071</v>
      </c>
      <c r="B2068">
        <v>118809.08</v>
      </c>
      <c r="C2068">
        <v>61.608847650000001</v>
      </c>
      <c r="D2068" s="2">
        <v>8.5</v>
      </c>
      <c r="E2068" s="2">
        <v>17.600000000000001</v>
      </c>
      <c r="F2068" s="2">
        <v>15.1</v>
      </c>
      <c r="G2068" s="2">
        <v>1.4</v>
      </c>
      <c r="H2068" s="2" t="str">
        <f>VLOOKUP(A2068,Holidays!$A$2:$B$2107,2,1)</f>
        <v>N</v>
      </c>
      <c r="I2068" s="2" t="str">
        <f>VLOOKUP(A2068,Holidays!$A$2:$C$2107,3,1)</f>
        <v>N</v>
      </c>
    </row>
    <row r="2069" spans="1:9" x14ac:dyDescent="0.45">
      <c r="A2069" s="1">
        <v>44072</v>
      </c>
      <c r="B2069">
        <v>100166.88499999999</v>
      </c>
      <c r="C2069">
        <v>15.292241880000001</v>
      </c>
      <c r="D2069" s="2">
        <v>9.1999999999999993</v>
      </c>
      <c r="E2069" s="2">
        <v>19.3</v>
      </c>
      <c r="F2069" s="2">
        <v>15.6</v>
      </c>
      <c r="G2069" s="2">
        <v>0</v>
      </c>
      <c r="H2069" s="2" t="str">
        <f>VLOOKUP(A2069,Holidays!$A$2:$B$2107,2,1)</f>
        <v>N</v>
      </c>
      <c r="I2069" s="2" t="str">
        <f>VLOOKUP(A2069,Holidays!$A$2:$C$2107,3,1)</f>
        <v>N</v>
      </c>
    </row>
    <row r="2070" spans="1:9" x14ac:dyDescent="0.45">
      <c r="A2070" s="1">
        <v>44073</v>
      </c>
      <c r="B2070">
        <v>98917.175000000003</v>
      </c>
      <c r="C2070">
        <v>9.4210185309999996</v>
      </c>
      <c r="D2070" s="2">
        <v>12</v>
      </c>
      <c r="E2070" s="2">
        <v>19.8</v>
      </c>
      <c r="F2070" s="2">
        <v>9</v>
      </c>
      <c r="G2070" s="2">
        <v>0</v>
      </c>
      <c r="H2070" s="2" t="str">
        <f>VLOOKUP(A2070,Holidays!$A$2:$B$2107,2,1)</f>
        <v>N</v>
      </c>
      <c r="I2070" s="2" t="str">
        <f>VLOOKUP(A2070,Holidays!$A$2:$C$2107,3,1)</f>
        <v>N</v>
      </c>
    </row>
    <row r="2071" spans="1:9" x14ac:dyDescent="0.45">
      <c r="A2071" s="1">
        <v>44074</v>
      </c>
      <c r="B2071">
        <v>121605.395</v>
      </c>
      <c r="C2071">
        <v>58.552628499999997</v>
      </c>
      <c r="D2071" s="2">
        <v>6.9</v>
      </c>
      <c r="E2071" s="2">
        <v>12.5</v>
      </c>
      <c r="F2071" s="2">
        <v>13.5</v>
      </c>
      <c r="G2071" s="2">
        <v>1</v>
      </c>
      <c r="H2071" s="2" t="str">
        <f>VLOOKUP(A2071,Holidays!$A$2:$B$2107,2,1)</f>
        <v>N</v>
      </c>
      <c r="I2071" s="2" t="str">
        <f>VLOOKUP(A2071,Holidays!$A$2:$C$2107,3,1)</f>
        <v>N</v>
      </c>
    </row>
    <row r="2072" spans="1:9" x14ac:dyDescent="0.45">
      <c r="A2072" s="1">
        <v>44075</v>
      </c>
      <c r="B2072">
        <v>119645.18</v>
      </c>
      <c r="C2072">
        <v>52.281624639999997</v>
      </c>
      <c r="D2072" s="2">
        <v>6.6</v>
      </c>
      <c r="E2072" s="2">
        <v>15.7</v>
      </c>
      <c r="F2072" s="2">
        <v>15.9</v>
      </c>
      <c r="G2072" s="2">
        <v>0</v>
      </c>
      <c r="H2072" s="2" t="str">
        <f>VLOOKUP(A2072,Holidays!$A$2:$B$2107,2,1)</f>
        <v>N</v>
      </c>
      <c r="I2072" s="2" t="str">
        <f>VLOOKUP(A2072,Holidays!$A$2:$C$2107,3,1)</f>
        <v>N</v>
      </c>
    </row>
    <row r="2073" spans="1:9" x14ac:dyDescent="0.45">
      <c r="A2073" s="1">
        <v>44076</v>
      </c>
      <c r="B2073">
        <v>113547.67</v>
      </c>
      <c r="C2073">
        <v>31.7696948</v>
      </c>
      <c r="D2073" s="2">
        <v>8.6</v>
      </c>
      <c r="E2073" s="2">
        <v>22</v>
      </c>
      <c r="F2073" s="2">
        <v>12.1</v>
      </c>
      <c r="G2073" s="2">
        <v>0</v>
      </c>
      <c r="H2073" s="2" t="str">
        <f>VLOOKUP(A2073,Holidays!$A$2:$B$2107,2,1)</f>
        <v>N</v>
      </c>
      <c r="I2073" s="2" t="str">
        <f>VLOOKUP(A2073,Holidays!$A$2:$C$2107,3,1)</f>
        <v>N</v>
      </c>
    </row>
    <row r="2074" spans="1:9" x14ac:dyDescent="0.45">
      <c r="A2074" s="1">
        <v>44077</v>
      </c>
      <c r="B2074">
        <v>109327.46</v>
      </c>
      <c r="C2074">
        <v>25.567114289999999</v>
      </c>
      <c r="D2074" s="2">
        <v>12.9</v>
      </c>
      <c r="E2074" s="2">
        <v>19.899999999999999</v>
      </c>
      <c r="F2074" s="2">
        <v>13.5</v>
      </c>
      <c r="G2074" s="2">
        <v>0</v>
      </c>
      <c r="H2074" s="2" t="str">
        <f>VLOOKUP(A2074,Holidays!$A$2:$B$2107,2,1)</f>
        <v>N</v>
      </c>
      <c r="I2074" s="2" t="str">
        <f>VLOOKUP(A2074,Holidays!$A$2:$C$2107,3,1)</f>
        <v>N</v>
      </c>
    </row>
    <row r="2075" spans="1:9" x14ac:dyDescent="0.45">
      <c r="A2075" s="1">
        <v>44078</v>
      </c>
      <c r="B2075">
        <v>114865.645</v>
      </c>
      <c r="C2075">
        <v>37.042569159999999</v>
      </c>
      <c r="D2075" s="2">
        <v>9</v>
      </c>
      <c r="E2075" s="2">
        <v>17.3</v>
      </c>
      <c r="F2075" s="2">
        <v>12.7</v>
      </c>
      <c r="G2075" s="2">
        <v>0</v>
      </c>
      <c r="H2075" s="2" t="str">
        <f>VLOOKUP(A2075,Holidays!$A$2:$B$2107,2,1)</f>
        <v>N</v>
      </c>
      <c r="I2075" s="2" t="str">
        <f>VLOOKUP(A2075,Holidays!$A$2:$C$2107,3,1)</f>
        <v>N</v>
      </c>
    </row>
    <row r="2076" spans="1:9" x14ac:dyDescent="0.45">
      <c r="A2076" s="1">
        <v>44079</v>
      </c>
      <c r="B2076">
        <v>105534.01</v>
      </c>
      <c r="C2076">
        <v>49.738453800000002</v>
      </c>
      <c r="D2076" s="2">
        <v>9.6999999999999993</v>
      </c>
      <c r="E2076" s="2">
        <v>16.600000000000001</v>
      </c>
      <c r="F2076" s="2">
        <v>15</v>
      </c>
      <c r="G2076" s="2">
        <v>0.2</v>
      </c>
      <c r="H2076" s="2" t="str">
        <f>VLOOKUP(A2076,Holidays!$A$2:$B$2107,2,1)</f>
        <v>N</v>
      </c>
      <c r="I2076" s="2" t="str">
        <f>VLOOKUP(A2076,Holidays!$A$2:$C$2107,3,1)</f>
        <v>N</v>
      </c>
    </row>
    <row r="2077" spans="1:9" x14ac:dyDescent="0.45">
      <c r="A2077" s="1">
        <v>44080</v>
      </c>
      <c r="B2077">
        <v>95865.14</v>
      </c>
      <c r="C2077">
        <v>26.51715961</v>
      </c>
      <c r="D2077" s="2">
        <v>6.9</v>
      </c>
      <c r="E2077" s="2">
        <v>19.2</v>
      </c>
      <c r="F2077" s="2">
        <v>16.899999999999999</v>
      </c>
      <c r="G2077" s="2">
        <v>0.2</v>
      </c>
      <c r="H2077" s="2" t="str">
        <f>VLOOKUP(A2077,Holidays!$A$2:$B$2107,2,1)</f>
        <v>N</v>
      </c>
      <c r="I2077" s="2" t="str">
        <f>VLOOKUP(A2077,Holidays!$A$2:$C$2107,3,1)</f>
        <v>N</v>
      </c>
    </row>
    <row r="2078" spans="1:9" x14ac:dyDescent="0.45">
      <c r="A2078" s="1">
        <v>44081</v>
      </c>
      <c r="B2078">
        <v>99778.2</v>
      </c>
      <c r="C2078">
        <v>18.907524120000001</v>
      </c>
      <c r="D2078" s="2">
        <v>8.8000000000000007</v>
      </c>
      <c r="E2078" s="2">
        <v>22.9</v>
      </c>
      <c r="F2078" s="2">
        <v>17.100000000000001</v>
      </c>
      <c r="G2078" s="2">
        <v>0</v>
      </c>
      <c r="H2078" s="2" t="str">
        <f>VLOOKUP(A2078,Holidays!$A$2:$B$2107,2,1)</f>
        <v>N</v>
      </c>
      <c r="I2078" s="2" t="str">
        <f>VLOOKUP(A2078,Holidays!$A$2:$C$2107,3,1)</f>
        <v>N</v>
      </c>
    </row>
    <row r="2079" spans="1:9" x14ac:dyDescent="0.45">
      <c r="A2079" s="1">
        <v>44082</v>
      </c>
      <c r="B2079">
        <v>112421.09</v>
      </c>
      <c r="C2079">
        <v>35.901955559999998</v>
      </c>
      <c r="D2079" s="2">
        <v>16.600000000000001</v>
      </c>
      <c r="E2079" s="2">
        <v>19.899999999999999</v>
      </c>
      <c r="F2079" s="2">
        <v>4.8</v>
      </c>
      <c r="G2079" s="2">
        <v>0</v>
      </c>
      <c r="H2079" s="2" t="str">
        <f>VLOOKUP(A2079,Holidays!$A$2:$B$2107,2,1)</f>
        <v>N</v>
      </c>
      <c r="I2079" s="2" t="str">
        <f>VLOOKUP(A2079,Holidays!$A$2:$C$2107,3,1)</f>
        <v>N</v>
      </c>
    </row>
    <row r="2080" spans="1:9" x14ac:dyDescent="0.45">
      <c r="A2080" s="1">
        <v>44083</v>
      </c>
      <c r="B2080">
        <v>112140.47</v>
      </c>
      <c r="C2080">
        <v>37.015433659999999</v>
      </c>
      <c r="D2080" s="2">
        <v>8.1</v>
      </c>
      <c r="E2080" s="2">
        <v>15.6</v>
      </c>
      <c r="F2080" s="2">
        <v>14.8</v>
      </c>
      <c r="G2080" s="2">
        <v>1</v>
      </c>
      <c r="H2080" s="2" t="str">
        <f>VLOOKUP(A2080,Holidays!$A$2:$B$2107,2,1)</f>
        <v>N</v>
      </c>
      <c r="I2080" s="2" t="str">
        <f>VLOOKUP(A2080,Holidays!$A$2:$C$2107,3,1)</f>
        <v>N</v>
      </c>
    </row>
    <row r="2081" spans="1:9" x14ac:dyDescent="0.45">
      <c r="A2081" s="1">
        <v>44084</v>
      </c>
      <c r="B2081">
        <v>109328.33500000001</v>
      </c>
      <c r="C2081">
        <v>31.152816170000001</v>
      </c>
      <c r="D2081" s="2">
        <v>5.4</v>
      </c>
      <c r="E2081" s="2">
        <v>21.4</v>
      </c>
      <c r="F2081" s="2">
        <v>17.5</v>
      </c>
      <c r="G2081" s="2">
        <v>0</v>
      </c>
      <c r="H2081" s="2" t="str">
        <f>VLOOKUP(A2081,Holidays!$A$2:$B$2107,2,1)</f>
        <v>N</v>
      </c>
      <c r="I2081" s="2" t="str">
        <f>VLOOKUP(A2081,Holidays!$A$2:$C$2107,3,1)</f>
        <v>N</v>
      </c>
    </row>
    <row r="2082" spans="1:9" x14ac:dyDescent="0.45">
      <c r="A2082" s="1">
        <v>44085</v>
      </c>
      <c r="B2082">
        <v>106643.05</v>
      </c>
      <c r="C2082">
        <v>22.38646877</v>
      </c>
      <c r="D2082" s="2">
        <v>10.4</v>
      </c>
      <c r="E2082" s="2">
        <v>19.399999999999999</v>
      </c>
      <c r="F2082" s="2">
        <v>13.4</v>
      </c>
      <c r="G2082" s="2">
        <v>0</v>
      </c>
      <c r="H2082" s="2" t="str">
        <f>VLOOKUP(A2082,Holidays!$A$2:$B$2107,2,1)</f>
        <v>N</v>
      </c>
      <c r="I2082" s="2" t="str">
        <f>VLOOKUP(A2082,Holidays!$A$2:$C$2107,3,1)</f>
        <v>N</v>
      </c>
    </row>
    <row r="2083" spans="1:9" x14ac:dyDescent="0.45">
      <c r="A2083" s="1">
        <v>44086</v>
      </c>
      <c r="B2083">
        <v>111644.6</v>
      </c>
      <c r="C2083">
        <v>34.264167829999998</v>
      </c>
      <c r="D2083" s="2">
        <v>13.3</v>
      </c>
      <c r="E2083" s="2">
        <v>16</v>
      </c>
      <c r="F2083" s="2">
        <v>4</v>
      </c>
      <c r="G2083" s="2">
        <v>1.6</v>
      </c>
      <c r="H2083" s="2" t="str">
        <f>VLOOKUP(A2083,Holidays!$A$2:$B$2107,2,1)</f>
        <v>N</v>
      </c>
      <c r="I2083" s="2" t="str">
        <f>VLOOKUP(A2083,Holidays!$A$2:$C$2107,3,1)</f>
        <v>N</v>
      </c>
    </row>
    <row r="2084" spans="1:9" x14ac:dyDescent="0.45">
      <c r="A2084" s="1">
        <v>44087</v>
      </c>
      <c r="B2084">
        <v>96225.91</v>
      </c>
      <c r="C2084">
        <v>28.327690329999999</v>
      </c>
      <c r="D2084" s="2">
        <v>11.9</v>
      </c>
      <c r="E2084" s="2">
        <v>17.2</v>
      </c>
      <c r="F2084" s="2">
        <v>16.5</v>
      </c>
      <c r="G2084" s="2">
        <v>11.8</v>
      </c>
      <c r="H2084" s="2" t="str">
        <f>VLOOKUP(A2084,Holidays!$A$2:$B$2107,2,1)</f>
        <v>N</v>
      </c>
      <c r="I2084" s="2" t="str">
        <f>VLOOKUP(A2084,Holidays!$A$2:$C$2107,3,1)</f>
        <v>N</v>
      </c>
    </row>
    <row r="2085" spans="1:9" x14ac:dyDescent="0.45">
      <c r="A2085" s="1">
        <v>44088</v>
      </c>
      <c r="B2085">
        <v>107196.61</v>
      </c>
      <c r="C2085">
        <v>41.852128030000003</v>
      </c>
      <c r="D2085" s="2">
        <v>11.1</v>
      </c>
      <c r="E2085" s="2">
        <v>16.600000000000001</v>
      </c>
      <c r="F2085" s="2">
        <v>18.100000000000001</v>
      </c>
      <c r="G2085" s="2">
        <v>0</v>
      </c>
      <c r="H2085" s="2" t="str">
        <f>VLOOKUP(A2085,Holidays!$A$2:$B$2107,2,1)</f>
        <v>N</v>
      </c>
      <c r="I2085" s="2" t="str">
        <f>VLOOKUP(A2085,Holidays!$A$2:$C$2107,3,1)</f>
        <v>N</v>
      </c>
    </row>
    <row r="2086" spans="1:9" x14ac:dyDescent="0.45">
      <c r="A2086" s="1">
        <v>44089</v>
      </c>
      <c r="B2086">
        <v>113008.77</v>
      </c>
      <c r="C2086">
        <v>44.305358050000002</v>
      </c>
      <c r="D2086" s="2">
        <v>7.4</v>
      </c>
      <c r="E2086" s="2">
        <v>15.8</v>
      </c>
      <c r="F2086" s="2">
        <v>18.3</v>
      </c>
      <c r="G2086" s="2">
        <v>0</v>
      </c>
      <c r="H2086" s="2" t="str">
        <f>VLOOKUP(A2086,Holidays!$A$2:$B$2107,2,1)</f>
        <v>N</v>
      </c>
      <c r="I2086" s="2" t="str">
        <f>VLOOKUP(A2086,Holidays!$A$2:$C$2107,3,1)</f>
        <v>N</v>
      </c>
    </row>
    <row r="2087" spans="1:9" x14ac:dyDescent="0.45">
      <c r="A2087" s="1">
        <v>44090</v>
      </c>
      <c r="B2087">
        <v>110807.72</v>
      </c>
      <c r="C2087">
        <v>34.968412190000002</v>
      </c>
      <c r="D2087" s="2">
        <v>7.1</v>
      </c>
      <c r="E2087" s="2">
        <v>22.8</v>
      </c>
      <c r="F2087" s="2">
        <v>17.399999999999999</v>
      </c>
      <c r="G2087" s="2">
        <v>0</v>
      </c>
      <c r="H2087" s="2" t="str">
        <f>VLOOKUP(A2087,Holidays!$A$2:$B$2107,2,1)</f>
        <v>N</v>
      </c>
      <c r="I2087" s="2" t="str">
        <f>VLOOKUP(A2087,Holidays!$A$2:$C$2107,3,1)</f>
        <v>N</v>
      </c>
    </row>
    <row r="2088" spans="1:9" x14ac:dyDescent="0.45">
      <c r="A2088" s="1">
        <v>44091</v>
      </c>
      <c r="B2088">
        <v>115643.44</v>
      </c>
      <c r="C2088">
        <v>34.696676500000002</v>
      </c>
      <c r="D2088" s="2">
        <v>11.8</v>
      </c>
      <c r="E2088" s="2">
        <v>15.5</v>
      </c>
      <c r="F2088" s="2">
        <v>9.4</v>
      </c>
      <c r="G2088" s="2">
        <v>0.8</v>
      </c>
      <c r="H2088" s="2" t="str">
        <f>VLOOKUP(A2088,Holidays!$A$2:$B$2107,2,1)</f>
        <v>N</v>
      </c>
      <c r="I2088" s="2" t="str">
        <f>VLOOKUP(A2088,Holidays!$A$2:$C$2107,3,1)</f>
        <v>N</v>
      </c>
    </row>
    <row r="2089" spans="1:9" x14ac:dyDescent="0.45">
      <c r="A2089" s="1">
        <v>44092</v>
      </c>
      <c r="B2089">
        <v>112335.7</v>
      </c>
      <c r="C2089">
        <v>40.837043459999997</v>
      </c>
      <c r="D2089" s="2">
        <v>8.4</v>
      </c>
      <c r="E2089" s="2">
        <v>18.7</v>
      </c>
      <c r="F2089" s="2">
        <v>13.6</v>
      </c>
      <c r="G2089" s="2">
        <v>0</v>
      </c>
      <c r="H2089" s="2" t="str">
        <f>VLOOKUP(A2089,Holidays!$A$2:$B$2107,2,1)</f>
        <v>N</v>
      </c>
      <c r="I2089" s="2" t="str">
        <f>VLOOKUP(A2089,Holidays!$A$2:$C$2107,3,1)</f>
        <v>N</v>
      </c>
    </row>
    <row r="2090" spans="1:9" x14ac:dyDescent="0.45">
      <c r="A2090" s="1">
        <v>44093</v>
      </c>
      <c r="B2090">
        <v>93384</v>
      </c>
      <c r="C2090">
        <v>24.265307830000001</v>
      </c>
      <c r="D2090" s="2">
        <v>11.3</v>
      </c>
      <c r="E2090" s="2">
        <v>26.3</v>
      </c>
      <c r="F2090" s="2">
        <v>17.100000000000001</v>
      </c>
      <c r="G2090" s="2">
        <v>0</v>
      </c>
      <c r="H2090" s="2" t="str">
        <f>VLOOKUP(A2090,Holidays!$A$2:$B$2107,2,1)</f>
        <v>N</v>
      </c>
      <c r="I2090" s="2" t="str">
        <f>VLOOKUP(A2090,Holidays!$A$2:$C$2107,3,1)</f>
        <v>N</v>
      </c>
    </row>
    <row r="2091" spans="1:9" x14ac:dyDescent="0.45">
      <c r="A2091" s="1">
        <v>44094</v>
      </c>
      <c r="B2091">
        <v>86891.23</v>
      </c>
      <c r="C2091">
        <v>23.051334789999999</v>
      </c>
      <c r="D2091" s="2">
        <v>17.100000000000001</v>
      </c>
      <c r="E2091" s="2">
        <v>22</v>
      </c>
      <c r="F2091" s="2">
        <v>16.7</v>
      </c>
      <c r="G2091" s="2">
        <v>0</v>
      </c>
      <c r="H2091" s="2" t="str">
        <f>VLOOKUP(A2091,Holidays!$A$2:$B$2107,2,1)</f>
        <v>N</v>
      </c>
      <c r="I2091" s="2" t="str">
        <f>VLOOKUP(A2091,Holidays!$A$2:$C$2107,3,1)</f>
        <v>N</v>
      </c>
    </row>
    <row r="2092" spans="1:9" x14ac:dyDescent="0.45">
      <c r="A2092" s="1">
        <v>44095</v>
      </c>
      <c r="B2092">
        <v>100977.95</v>
      </c>
      <c r="C2092">
        <v>34.25364192</v>
      </c>
      <c r="D2092" s="2">
        <v>16.600000000000001</v>
      </c>
      <c r="E2092" s="2">
        <v>19.8</v>
      </c>
      <c r="F2092" s="2">
        <v>13</v>
      </c>
      <c r="G2092" s="2">
        <v>0</v>
      </c>
      <c r="H2092" s="2" t="str">
        <f>VLOOKUP(A2092,Holidays!$A$2:$B$2107,2,1)</f>
        <v>N</v>
      </c>
      <c r="I2092" s="2" t="str">
        <f>VLOOKUP(A2092,Holidays!$A$2:$C$2107,3,1)</f>
        <v>N</v>
      </c>
    </row>
    <row r="2093" spans="1:9" x14ac:dyDescent="0.45">
      <c r="A2093" s="1">
        <v>44096</v>
      </c>
      <c r="B2093">
        <v>103200.64</v>
      </c>
      <c r="C2093">
        <v>25.925322789999999</v>
      </c>
      <c r="D2093" s="2">
        <v>12.3</v>
      </c>
      <c r="E2093" s="2">
        <v>18.899999999999999</v>
      </c>
      <c r="F2093" s="2">
        <v>16.8</v>
      </c>
      <c r="G2093" s="2">
        <v>0</v>
      </c>
      <c r="H2093" s="2" t="str">
        <f>VLOOKUP(A2093,Holidays!$A$2:$B$2107,2,1)</f>
        <v>N</v>
      </c>
      <c r="I2093" s="2" t="str">
        <f>VLOOKUP(A2093,Holidays!$A$2:$C$2107,3,1)</f>
        <v>N</v>
      </c>
    </row>
    <row r="2094" spans="1:9" x14ac:dyDescent="0.45">
      <c r="A2094" s="1">
        <v>44097</v>
      </c>
      <c r="B2094">
        <v>112412.44500000001</v>
      </c>
      <c r="C2094">
        <v>34.211794570000002</v>
      </c>
      <c r="D2094" s="2">
        <v>10.6</v>
      </c>
      <c r="E2094" s="2">
        <v>15.1</v>
      </c>
      <c r="F2094" s="2">
        <v>12.3</v>
      </c>
      <c r="G2094" s="2">
        <v>0.2</v>
      </c>
      <c r="H2094" s="2" t="str">
        <f>VLOOKUP(A2094,Holidays!$A$2:$B$2107,2,1)</f>
        <v>N</v>
      </c>
      <c r="I2094" s="2" t="str">
        <f>VLOOKUP(A2094,Holidays!$A$2:$C$2107,3,1)</f>
        <v>N</v>
      </c>
    </row>
    <row r="2095" spans="1:9" x14ac:dyDescent="0.45">
      <c r="A2095" s="1">
        <v>44098</v>
      </c>
      <c r="B2095">
        <v>117535.715</v>
      </c>
      <c r="C2095">
        <v>51.779356100000001</v>
      </c>
      <c r="D2095" s="2">
        <v>8.1999999999999993</v>
      </c>
      <c r="E2095" s="2">
        <v>15</v>
      </c>
      <c r="F2095" s="2">
        <v>13.9</v>
      </c>
      <c r="G2095" s="2">
        <v>1.6</v>
      </c>
      <c r="H2095" s="2" t="str">
        <f>VLOOKUP(A2095,Holidays!$A$2:$B$2107,2,1)</f>
        <v>N</v>
      </c>
      <c r="I2095" s="2" t="str">
        <f>VLOOKUP(A2095,Holidays!$A$2:$C$2107,3,1)</f>
        <v>N</v>
      </c>
    </row>
    <row r="2096" spans="1:9" x14ac:dyDescent="0.45">
      <c r="A2096" s="1">
        <v>44099</v>
      </c>
      <c r="B2096">
        <v>126354.68</v>
      </c>
      <c r="C2096">
        <v>53.429209659999998</v>
      </c>
      <c r="D2096" s="2">
        <v>7.2</v>
      </c>
      <c r="E2096" s="2">
        <v>11.9</v>
      </c>
      <c r="F2096" s="2">
        <v>7.2</v>
      </c>
      <c r="G2096" s="2">
        <v>3.2</v>
      </c>
      <c r="H2096" s="2" t="str">
        <f>VLOOKUP(A2096,Holidays!$A$2:$B$2107,2,1)</f>
        <v>N</v>
      </c>
      <c r="I2096" s="2" t="str">
        <f>VLOOKUP(A2096,Holidays!$A$2:$C$2107,3,1)</f>
        <v>N</v>
      </c>
    </row>
    <row r="2097" spans="1:9" x14ac:dyDescent="0.45">
      <c r="A2097" s="1">
        <v>44100</v>
      </c>
      <c r="B2097">
        <v>106694.965</v>
      </c>
      <c r="C2097">
        <v>33.444710110000003</v>
      </c>
      <c r="D2097" s="2">
        <v>6.2</v>
      </c>
      <c r="E2097" s="2">
        <v>13.4</v>
      </c>
      <c r="F2097" s="2">
        <v>15</v>
      </c>
      <c r="G2097" s="2">
        <v>9.4</v>
      </c>
      <c r="H2097" s="2" t="str">
        <f>VLOOKUP(A2097,Holidays!$A$2:$B$2107,2,1)</f>
        <v>N</v>
      </c>
      <c r="I2097" s="2" t="str">
        <f>VLOOKUP(A2097,Holidays!$A$2:$C$2107,3,1)</f>
        <v>N</v>
      </c>
    </row>
    <row r="2098" spans="1:9" x14ac:dyDescent="0.45">
      <c r="A2098" s="1">
        <v>44101</v>
      </c>
      <c r="B2098">
        <v>101703.49</v>
      </c>
      <c r="C2098">
        <v>57.920028760000001</v>
      </c>
      <c r="D2098" s="2">
        <v>8.8000000000000007</v>
      </c>
      <c r="E2098" s="2">
        <v>13.4</v>
      </c>
      <c r="F2098" s="2">
        <v>20.9</v>
      </c>
      <c r="G2098" s="2">
        <v>3</v>
      </c>
      <c r="H2098" s="2" t="str">
        <f>VLOOKUP(A2098,Holidays!$A$2:$B$2107,2,1)</f>
        <v>N</v>
      </c>
      <c r="I2098" s="2" t="str">
        <f>VLOOKUP(A2098,Holidays!$A$2:$C$2107,3,1)</f>
        <v>N</v>
      </c>
    </row>
    <row r="2099" spans="1:9" x14ac:dyDescent="0.45">
      <c r="A2099" s="1">
        <v>44102</v>
      </c>
      <c r="B2099">
        <v>114651.14</v>
      </c>
      <c r="C2099">
        <v>59.74605347</v>
      </c>
      <c r="D2099" s="2">
        <v>6.5</v>
      </c>
      <c r="E2099" s="2">
        <v>13.6</v>
      </c>
      <c r="F2099" s="2">
        <v>18.3</v>
      </c>
      <c r="G2099" s="2">
        <v>0</v>
      </c>
      <c r="H2099" s="2" t="str">
        <f>VLOOKUP(A2099,Holidays!$A$2:$B$2107,2,1)</f>
        <v>N</v>
      </c>
      <c r="I2099" s="2" t="str">
        <f>VLOOKUP(A2099,Holidays!$A$2:$C$2107,3,1)</f>
        <v>N</v>
      </c>
    </row>
    <row r="2100" spans="1:9" x14ac:dyDescent="0.45">
      <c r="A2100" s="1">
        <v>44103</v>
      </c>
      <c r="B2100">
        <v>112076.46</v>
      </c>
      <c r="C2100">
        <v>42.120177509999998</v>
      </c>
      <c r="D2100" s="2">
        <v>4.3</v>
      </c>
      <c r="E2100" s="2">
        <v>21</v>
      </c>
      <c r="F2100" s="2">
        <v>18.399999999999999</v>
      </c>
      <c r="G2100" s="2">
        <v>0</v>
      </c>
      <c r="H2100" s="2" t="str">
        <f>VLOOKUP(A2100,Holidays!$A$2:$B$2107,2,1)</f>
        <v>N</v>
      </c>
      <c r="I2100" s="2" t="str">
        <f>VLOOKUP(A2100,Holidays!$A$2:$C$2107,3,1)</f>
        <v>N</v>
      </c>
    </row>
    <row r="2101" spans="1:9" x14ac:dyDescent="0.45">
      <c r="A2101" s="1">
        <v>44104</v>
      </c>
      <c r="B2101">
        <v>113620.21</v>
      </c>
      <c r="C2101">
        <v>38.05764052</v>
      </c>
      <c r="D2101" s="2">
        <v>10.7</v>
      </c>
      <c r="E2101" s="2">
        <v>19.399999999999999</v>
      </c>
      <c r="F2101" s="2">
        <v>13</v>
      </c>
      <c r="G2101" s="2">
        <v>0.6</v>
      </c>
      <c r="H2101" s="2" t="str">
        <f>VLOOKUP(A2101,Holidays!$A$2:$B$2107,2,1)</f>
        <v>N</v>
      </c>
      <c r="I2101" s="2" t="str">
        <f>VLOOKUP(A2101,Holidays!$A$2:$C$2107,3,1)</f>
        <v>N</v>
      </c>
    </row>
    <row r="2102" spans="1:9" x14ac:dyDescent="0.45">
      <c r="A2102" s="1">
        <v>44105</v>
      </c>
      <c r="B2102">
        <v>106641.79</v>
      </c>
      <c r="C2102">
        <v>34.65467056</v>
      </c>
      <c r="D2102" s="2">
        <v>9.4</v>
      </c>
      <c r="E2102" s="2">
        <v>19.5</v>
      </c>
      <c r="F2102" s="2">
        <v>21.2</v>
      </c>
      <c r="G2102" s="2">
        <v>1.8</v>
      </c>
      <c r="H2102" s="2" t="str">
        <f>VLOOKUP(A2102,Holidays!$A$2:$B$2107,2,1)</f>
        <v>N</v>
      </c>
      <c r="I2102" s="2" t="str">
        <f>VLOOKUP(A2102,Holidays!$A$2:$C$2107,3,1)</f>
        <v>N</v>
      </c>
    </row>
    <row r="2103" spans="1:9" x14ac:dyDescent="0.45">
      <c r="A2103" s="1">
        <v>44106</v>
      </c>
      <c r="B2103">
        <v>99585.835000000006</v>
      </c>
      <c r="C2103">
        <v>-6.0760283690000003</v>
      </c>
      <c r="D2103" s="2">
        <v>12.8</v>
      </c>
      <c r="E2103" s="2">
        <v>26</v>
      </c>
      <c r="F2103" s="2">
        <v>22</v>
      </c>
      <c r="G2103" s="2">
        <v>0</v>
      </c>
      <c r="H2103" s="2" t="str">
        <f>VLOOKUP(A2103,Holidays!$A$2:$B$2107,2,1)</f>
        <v>N</v>
      </c>
      <c r="I2103" s="2" t="str">
        <f>VLOOKUP(A2103,Holidays!$A$2:$C$2107,3,1)</f>
        <v>N</v>
      </c>
    </row>
    <row r="2104" spans="1:9" x14ac:dyDescent="0.45">
      <c r="A2104" s="1">
        <v>44107</v>
      </c>
      <c r="B2104">
        <v>92277.024999999994</v>
      </c>
      <c r="C2104">
        <v>-1.983470633</v>
      </c>
      <c r="D2104" s="2">
        <v>17.399999999999999</v>
      </c>
      <c r="E2104" s="2">
        <v>29.4</v>
      </c>
      <c r="F2104" s="2">
        <v>19.8</v>
      </c>
      <c r="G2104" s="2">
        <v>0</v>
      </c>
      <c r="H2104" s="2" t="str">
        <f>VLOOKUP(A2104,Holidays!$A$2:$B$2107,2,1)</f>
        <v>N</v>
      </c>
      <c r="I2104" s="2" t="str">
        <f>VLOOKUP(A2104,Holidays!$A$2:$C$2107,3,1)</f>
        <v>N</v>
      </c>
    </row>
    <row r="2105" spans="1:9" x14ac:dyDescent="0.45">
      <c r="A2105" s="1">
        <v>44108</v>
      </c>
      <c r="B2105">
        <v>94081.565000000002</v>
      </c>
      <c r="C2105">
        <v>25.0086136</v>
      </c>
      <c r="D2105" s="2">
        <v>13.5</v>
      </c>
      <c r="E2105" s="2">
        <v>29.5</v>
      </c>
      <c r="F2105" s="2">
        <v>8.4</v>
      </c>
      <c r="G2105" s="2">
        <v>0</v>
      </c>
      <c r="H2105" s="2" t="str">
        <f>VLOOKUP(A2105,Holidays!$A$2:$B$2107,2,1)</f>
        <v>N</v>
      </c>
      <c r="I2105" s="2" t="str">
        <f>VLOOKUP(A2105,Holidays!$A$2:$C$2107,3,1)</f>
        <v>N</v>
      </c>
    </row>
    <row r="2106" spans="1:9" x14ac:dyDescent="0.45">
      <c r="A2106" s="1">
        <v>44109</v>
      </c>
      <c r="B2106">
        <v>113610.03</v>
      </c>
      <c r="C2106">
        <v>36.764700519999998</v>
      </c>
      <c r="D2106" s="2">
        <v>9.1</v>
      </c>
      <c r="E2106" s="2">
        <v>12.7</v>
      </c>
      <c r="F2106" s="2">
        <v>7.3</v>
      </c>
      <c r="G2106" s="2">
        <v>12.8</v>
      </c>
      <c r="H2106" s="2" t="str">
        <f>VLOOKUP(A2106,Holidays!$A$2:$B$2107,2,1)</f>
        <v>N</v>
      </c>
      <c r="I2106" s="2" t="str">
        <f>VLOOKUP(A2106,Holidays!$A$2:$C$2107,3,1)</f>
        <v>N</v>
      </c>
    </row>
    <row r="2107" spans="1:9" x14ac:dyDescent="0.45">
      <c r="A2107" s="1">
        <v>44110</v>
      </c>
      <c r="B2107">
        <v>122607.56</v>
      </c>
      <c r="C2107">
        <v>75.771059010000002</v>
      </c>
      <c r="D2107" s="2">
        <v>8.9</v>
      </c>
      <c r="E2107" s="2">
        <v>12.6</v>
      </c>
      <c r="F2107" s="2">
        <v>5.8</v>
      </c>
      <c r="G2107" s="2">
        <v>1</v>
      </c>
      <c r="H2107" s="2" t="str">
        <f>VLOOKUP(A2107,Holidays!$A$2:$B$2107,2,1)</f>
        <v>N</v>
      </c>
      <c r="I2107" s="2" t="str">
        <f>VLOOKUP(A2107,Holidays!$A$2:$C$2107,3,1)</f>
        <v>N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07"/>
  <sheetViews>
    <sheetView workbookViewId="0">
      <selection activeCell="B2100" sqref="B2100"/>
    </sheetView>
  </sheetViews>
  <sheetFormatPr defaultRowHeight="14.25" x14ac:dyDescent="0.45"/>
  <cols>
    <col min="1" max="2" width="10.53125" bestFit="1" customWidth="1"/>
    <col min="3" max="3" width="7.33203125" bestFit="1" customWidth="1"/>
  </cols>
  <sheetData>
    <row r="1" spans="1:3" x14ac:dyDescent="0.45">
      <c r="A1" t="s">
        <v>0</v>
      </c>
      <c r="B1" t="s">
        <v>7</v>
      </c>
      <c r="C1" t="s">
        <v>8</v>
      </c>
    </row>
    <row r="2" spans="1:3" x14ac:dyDescent="0.45">
      <c r="A2" s="1">
        <v>42005</v>
      </c>
      <c r="B2" t="s">
        <v>9</v>
      </c>
      <c r="C2" t="s">
        <v>10</v>
      </c>
    </row>
    <row r="3" spans="1:3" x14ac:dyDescent="0.45">
      <c r="A3" s="1">
        <v>42006</v>
      </c>
      <c r="B3" t="s">
        <v>9</v>
      </c>
      <c r="C3" t="s">
        <v>9</v>
      </c>
    </row>
    <row r="4" spans="1:3" x14ac:dyDescent="0.45">
      <c r="A4" s="1">
        <v>42007</v>
      </c>
      <c r="B4" t="s">
        <v>9</v>
      </c>
      <c r="C4" t="s">
        <v>9</v>
      </c>
    </row>
    <row r="5" spans="1:3" x14ac:dyDescent="0.45">
      <c r="A5" s="1">
        <v>42008</v>
      </c>
      <c r="B5" t="s">
        <v>9</v>
      </c>
      <c r="C5" t="s">
        <v>9</v>
      </c>
    </row>
    <row r="6" spans="1:3" x14ac:dyDescent="0.45">
      <c r="A6" s="1">
        <v>42009</v>
      </c>
      <c r="B6" t="s">
        <v>9</v>
      </c>
      <c r="C6" t="s">
        <v>9</v>
      </c>
    </row>
    <row r="7" spans="1:3" x14ac:dyDescent="0.45">
      <c r="A7" s="1">
        <v>42010</v>
      </c>
      <c r="B7" t="s">
        <v>9</v>
      </c>
      <c r="C7" t="s">
        <v>9</v>
      </c>
    </row>
    <row r="8" spans="1:3" x14ac:dyDescent="0.45">
      <c r="A8" s="1">
        <v>42011</v>
      </c>
      <c r="B8" t="s">
        <v>9</v>
      </c>
      <c r="C8" t="s">
        <v>9</v>
      </c>
    </row>
    <row r="9" spans="1:3" x14ac:dyDescent="0.45">
      <c r="A9" s="1">
        <v>42012</v>
      </c>
      <c r="B9" t="s">
        <v>9</v>
      </c>
      <c r="C9" t="s">
        <v>9</v>
      </c>
    </row>
    <row r="10" spans="1:3" x14ac:dyDescent="0.45">
      <c r="A10" s="1">
        <v>42013</v>
      </c>
      <c r="B10" t="s">
        <v>9</v>
      </c>
      <c r="C10" t="s">
        <v>9</v>
      </c>
    </row>
    <row r="11" spans="1:3" x14ac:dyDescent="0.45">
      <c r="A11" s="1">
        <v>42014</v>
      </c>
      <c r="B11" t="s">
        <v>9</v>
      </c>
      <c r="C11" t="s">
        <v>9</v>
      </c>
    </row>
    <row r="12" spans="1:3" x14ac:dyDescent="0.45">
      <c r="A12" s="1">
        <v>42015</v>
      </c>
      <c r="B12" t="s">
        <v>9</v>
      </c>
      <c r="C12" t="s">
        <v>9</v>
      </c>
    </row>
    <row r="13" spans="1:3" x14ac:dyDescent="0.45">
      <c r="A13" s="1">
        <v>42016</v>
      </c>
      <c r="B13" t="s">
        <v>9</v>
      </c>
      <c r="C13" t="s">
        <v>9</v>
      </c>
    </row>
    <row r="14" spans="1:3" x14ac:dyDescent="0.45">
      <c r="A14" s="1">
        <v>42017</v>
      </c>
      <c r="B14" t="s">
        <v>9</v>
      </c>
      <c r="C14" t="s">
        <v>9</v>
      </c>
    </row>
    <row r="15" spans="1:3" x14ac:dyDescent="0.45">
      <c r="A15" s="1">
        <v>42018</v>
      </c>
      <c r="B15" t="s">
        <v>9</v>
      </c>
      <c r="C15" t="s">
        <v>9</v>
      </c>
    </row>
    <row r="16" spans="1:3" x14ac:dyDescent="0.45">
      <c r="A16" s="1">
        <v>42019</v>
      </c>
      <c r="B16" t="s">
        <v>9</v>
      </c>
      <c r="C16" t="s">
        <v>9</v>
      </c>
    </row>
    <row r="17" spans="1:3" x14ac:dyDescent="0.45">
      <c r="A17" s="1">
        <v>42020</v>
      </c>
      <c r="B17" t="s">
        <v>9</v>
      </c>
      <c r="C17" t="s">
        <v>9</v>
      </c>
    </row>
    <row r="18" spans="1:3" x14ac:dyDescent="0.45">
      <c r="A18" s="1">
        <v>42021</v>
      </c>
      <c r="B18" t="s">
        <v>9</v>
      </c>
      <c r="C18" t="s">
        <v>9</v>
      </c>
    </row>
    <row r="19" spans="1:3" x14ac:dyDescent="0.45">
      <c r="A19" s="1">
        <v>42022</v>
      </c>
      <c r="B19" t="s">
        <v>9</v>
      </c>
      <c r="C19" t="s">
        <v>9</v>
      </c>
    </row>
    <row r="20" spans="1:3" x14ac:dyDescent="0.45">
      <c r="A20" s="1">
        <v>42023</v>
      </c>
      <c r="B20" t="s">
        <v>9</v>
      </c>
      <c r="C20" t="s">
        <v>9</v>
      </c>
    </row>
    <row r="21" spans="1:3" x14ac:dyDescent="0.45">
      <c r="A21" s="1">
        <v>42024</v>
      </c>
      <c r="B21" t="s">
        <v>9</v>
      </c>
      <c r="C21" t="s">
        <v>9</v>
      </c>
    </row>
    <row r="22" spans="1:3" x14ac:dyDescent="0.45">
      <c r="A22" s="1">
        <v>42025</v>
      </c>
      <c r="B22" t="s">
        <v>9</v>
      </c>
      <c r="C22" t="s">
        <v>9</v>
      </c>
    </row>
    <row r="23" spans="1:3" x14ac:dyDescent="0.45">
      <c r="A23" s="1">
        <v>42026</v>
      </c>
      <c r="B23" t="s">
        <v>9</v>
      </c>
      <c r="C23" t="s">
        <v>9</v>
      </c>
    </row>
    <row r="24" spans="1:3" x14ac:dyDescent="0.45">
      <c r="A24" s="1">
        <v>42027</v>
      </c>
      <c r="B24" t="s">
        <v>9</v>
      </c>
      <c r="C24" t="s">
        <v>9</v>
      </c>
    </row>
    <row r="25" spans="1:3" x14ac:dyDescent="0.45">
      <c r="A25" s="1">
        <v>42028</v>
      </c>
      <c r="B25" t="s">
        <v>9</v>
      </c>
      <c r="C25" t="s">
        <v>9</v>
      </c>
    </row>
    <row r="26" spans="1:3" x14ac:dyDescent="0.45">
      <c r="A26" s="1">
        <v>42029</v>
      </c>
      <c r="B26" t="s">
        <v>9</v>
      </c>
      <c r="C26" t="s">
        <v>9</v>
      </c>
    </row>
    <row r="27" spans="1:3" x14ac:dyDescent="0.45">
      <c r="A27" s="1">
        <v>42030</v>
      </c>
      <c r="B27" t="s">
        <v>9</v>
      </c>
      <c r="C27" t="s">
        <v>10</v>
      </c>
    </row>
    <row r="28" spans="1:3" x14ac:dyDescent="0.45">
      <c r="A28" s="1">
        <v>42031</v>
      </c>
      <c r="B28" t="s">
        <v>9</v>
      </c>
      <c r="C28" t="s">
        <v>9</v>
      </c>
    </row>
    <row r="29" spans="1:3" x14ac:dyDescent="0.45">
      <c r="A29" s="1">
        <v>42032</v>
      </c>
      <c r="B29" t="s">
        <v>9</v>
      </c>
      <c r="C29" t="s">
        <v>9</v>
      </c>
    </row>
    <row r="30" spans="1:3" x14ac:dyDescent="0.45">
      <c r="A30" s="1">
        <v>42033</v>
      </c>
      <c r="B30" t="s">
        <v>10</v>
      </c>
      <c r="C30" t="s">
        <v>9</v>
      </c>
    </row>
    <row r="31" spans="1:3" x14ac:dyDescent="0.45">
      <c r="A31" s="1">
        <v>42034</v>
      </c>
      <c r="B31" t="s">
        <v>10</v>
      </c>
      <c r="C31" t="s">
        <v>9</v>
      </c>
    </row>
    <row r="32" spans="1:3" x14ac:dyDescent="0.45">
      <c r="A32" s="1">
        <v>42035</v>
      </c>
      <c r="B32" t="s">
        <v>10</v>
      </c>
      <c r="C32" t="s">
        <v>9</v>
      </c>
    </row>
    <row r="33" spans="1:3" x14ac:dyDescent="0.45">
      <c r="A33" s="1">
        <v>42036</v>
      </c>
      <c r="B33" t="s">
        <v>10</v>
      </c>
      <c r="C33" t="s">
        <v>9</v>
      </c>
    </row>
    <row r="34" spans="1:3" x14ac:dyDescent="0.45">
      <c r="A34" s="1">
        <v>42037</v>
      </c>
      <c r="B34" t="s">
        <v>10</v>
      </c>
      <c r="C34" t="s">
        <v>9</v>
      </c>
    </row>
    <row r="35" spans="1:3" x14ac:dyDescent="0.45">
      <c r="A35" s="1">
        <v>42038</v>
      </c>
      <c r="B35" t="s">
        <v>10</v>
      </c>
      <c r="C35" t="s">
        <v>9</v>
      </c>
    </row>
    <row r="36" spans="1:3" x14ac:dyDescent="0.45">
      <c r="A36" s="1">
        <v>42039</v>
      </c>
      <c r="B36" t="s">
        <v>10</v>
      </c>
      <c r="C36" t="s">
        <v>9</v>
      </c>
    </row>
    <row r="37" spans="1:3" x14ac:dyDescent="0.45">
      <c r="A37" s="1">
        <v>42040</v>
      </c>
      <c r="B37" t="s">
        <v>10</v>
      </c>
      <c r="C37" t="s">
        <v>9</v>
      </c>
    </row>
    <row r="38" spans="1:3" x14ac:dyDescent="0.45">
      <c r="A38" s="1">
        <v>42041</v>
      </c>
      <c r="B38" t="s">
        <v>10</v>
      </c>
      <c r="C38" t="s">
        <v>9</v>
      </c>
    </row>
    <row r="39" spans="1:3" x14ac:dyDescent="0.45">
      <c r="A39" s="1">
        <v>42042</v>
      </c>
      <c r="B39" t="s">
        <v>10</v>
      </c>
      <c r="C39" t="s">
        <v>9</v>
      </c>
    </row>
    <row r="40" spans="1:3" x14ac:dyDescent="0.45">
      <c r="A40" s="1">
        <v>42043</v>
      </c>
      <c r="B40" t="s">
        <v>10</v>
      </c>
      <c r="C40" t="s">
        <v>9</v>
      </c>
    </row>
    <row r="41" spans="1:3" x14ac:dyDescent="0.45">
      <c r="A41" s="1">
        <v>42044</v>
      </c>
      <c r="B41" t="s">
        <v>10</v>
      </c>
      <c r="C41" t="s">
        <v>9</v>
      </c>
    </row>
    <row r="42" spans="1:3" x14ac:dyDescent="0.45">
      <c r="A42" s="1">
        <v>42045</v>
      </c>
      <c r="B42" t="s">
        <v>10</v>
      </c>
      <c r="C42" t="s">
        <v>9</v>
      </c>
    </row>
    <row r="43" spans="1:3" x14ac:dyDescent="0.45">
      <c r="A43" s="1">
        <v>42046</v>
      </c>
      <c r="B43" t="s">
        <v>10</v>
      </c>
      <c r="C43" t="s">
        <v>9</v>
      </c>
    </row>
    <row r="44" spans="1:3" x14ac:dyDescent="0.45">
      <c r="A44" s="1">
        <v>42047</v>
      </c>
      <c r="B44" t="s">
        <v>10</v>
      </c>
      <c r="C44" t="s">
        <v>9</v>
      </c>
    </row>
    <row r="45" spans="1:3" x14ac:dyDescent="0.45">
      <c r="A45" s="1">
        <v>42048</v>
      </c>
      <c r="B45" t="s">
        <v>10</v>
      </c>
      <c r="C45" t="s">
        <v>9</v>
      </c>
    </row>
    <row r="46" spans="1:3" x14ac:dyDescent="0.45">
      <c r="A46" s="1">
        <v>42049</v>
      </c>
      <c r="B46" t="s">
        <v>10</v>
      </c>
      <c r="C46" t="s">
        <v>9</v>
      </c>
    </row>
    <row r="47" spans="1:3" x14ac:dyDescent="0.45">
      <c r="A47" s="1">
        <v>42050</v>
      </c>
      <c r="B47" t="s">
        <v>10</v>
      </c>
      <c r="C47" t="s">
        <v>9</v>
      </c>
    </row>
    <row r="48" spans="1:3" x14ac:dyDescent="0.45">
      <c r="A48" s="1">
        <v>42051</v>
      </c>
      <c r="B48" t="s">
        <v>10</v>
      </c>
      <c r="C48" t="s">
        <v>9</v>
      </c>
    </row>
    <row r="49" spans="1:3" x14ac:dyDescent="0.45">
      <c r="A49" s="1">
        <v>42052</v>
      </c>
      <c r="B49" t="s">
        <v>10</v>
      </c>
      <c r="C49" t="s">
        <v>9</v>
      </c>
    </row>
    <row r="50" spans="1:3" x14ac:dyDescent="0.45">
      <c r="A50" s="1">
        <v>42053</v>
      </c>
      <c r="B50" t="s">
        <v>10</v>
      </c>
      <c r="C50" t="s">
        <v>9</v>
      </c>
    </row>
    <row r="51" spans="1:3" x14ac:dyDescent="0.45">
      <c r="A51" s="1">
        <v>42054</v>
      </c>
      <c r="B51" t="s">
        <v>10</v>
      </c>
      <c r="C51" t="s">
        <v>9</v>
      </c>
    </row>
    <row r="52" spans="1:3" x14ac:dyDescent="0.45">
      <c r="A52" s="1">
        <v>42055</v>
      </c>
      <c r="B52" t="s">
        <v>10</v>
      </c>
      <c r="C52" t="s">
        <v>9</v>
      </c>
    </row>
    <row r="53" spans="1:3" x14ac:dyDescent="0.45">
      <c r="A53" s="1">
        <v>42056</v>
      </c>
      <c r="B53" t="s">
        <v>10</v>
      </c>
      <c r="C53" t="s">
        <v>9</v>
      </c>
    </row>
    <row r="54" spans="1:3" x14ac:dyDescent="0.45">
      <c r="A54" s="1">
        <v>42057</v>
      </c>
      <c r="B54" t="s">
        <v>10</v>
      </c>
      <c r="C54" t="s">
        <v>9</v>
      </c>
    </row>
    <row r="55" spans="1:3" x14ac:dyDescent="0.45">
      <c r="A55" s="1">
        <v>42058</v>
      </c>
      <c r="B55" t="s">
        <v>10</v>
      </c>
      <c r="C55" t="s">
        <v>9</v>
      </c>
    </row>
    <row r="56" spans="1:3" x14ac:dyDescent="0.45">
      <c r="A56" s="1">
        <v>42059</v>
      </c>
      <c r="B56" t="s">
        <v>10</v>
      </c>
      <c r="C56" t="s">
        <v>9</v>
      </c>
    </row>
    <row r="57" spans="1:3" x14ac:dyDescent="0.45">
      <c r="A57" s="1">
        <v>42060</v>
      </c>
      <c r="B57" t="s">
        <v>10</v>
      </c>
      <c r="C57" t="s">
        <v>9</v>
      </c>
    </row>
    <row r="58" spans="1:3" x14ac:dyDescent="0.45">
      <c r="A58" s="1">
        <v>42061</v>
      </c>
      <c r="B58" t="s">
        <v>10</v>
      </c>
      <c r="C58" t="s">
        <v>9</v>
      </c>
    </row>
    <row r="59" spans="1:3" x14ac:dyDescent="0.45">
      <c r="A59" s="1">
        <v>42062</v>
      </c>
      <c r="B59" t="s">
        <v>10</v>
      </c>
      <c r="C59" t="s">
        <v>9</v>
      </c>
    </row>
    <row r="60" spans="1:3" x14ac:dyDescent="0.45">
      <c r="A60" s="1">
        <v>42063</v>
      </c>
      <c r="B60" t="s">
        <v>10</v>
      </c>
      <c r="C60" t="s">
        <v>9</v>
      </c>
    </row>
    <row r="61" spans="1:3" x14ac:dyDescent="0.45">
      <c r="A61" s="1">
        <v>42064</v>
      </c>
      <c r="B61" t="s">
        <v>10</v>
      </c>
      <c r="C61" t="s">
        <v>9</v>
      </c>
    </row>
    <row r="62" spans="1:3" x14ac:dyDescent="0.45">
      <c r="A62" s="1">
        <v>42065</v>
      </c>
      <c r="B62" t="s">
        <v>10</v>
      </c>
      <c r="C62" t="s">
        <v>9</v>
      </c>
    </row>
    <row r="63" spans="1:3" x14ac:dyDescent="0.45">
      <c r="A63" s="1">
        <v>42066</v>
      </c>
      <c r="B63" t="s">
        <v>10</v>
      </c>
      <c r="C63" t="s">
        <v>9</v>
      </c>
    </row>
    <row r="64" spans="1:3" x14ac:dyDescent="0.45">
      <c r="A64" s="1">
        <v>42067</v>
      </c>
      <c r="B64" t="s">
        <v>10</v>
      </c>
      <c r="C64" t="s">
        <v>9</v>
      </c>
    </row>
    <row r="65" spans="1:3" x14ac:dyDescent="0.45">
      <c r="A65" s="1">
        <v>42068</v>
      </c>
      <c r="B65" t="s">
        <v>10</v>
      </c>
      <c r="C65" t="s">
        <v>9</v>
      </c>
    </row>
    <row r="66" spans="1:3" x14ac:dyDescent="0.45">
      <c r="A66" s="1">
        <v>42069</v>
      </c>
      <c r="B66" t="s">
        <v>10</v>
      </c>
      <c r="C66" t="s">
        <v>9</v>
      </c>
    </row>
    <row r="67" spans="1:3" x14ac:dyDescent="0.45">
      <c r="A67" s="1">
        <v>42070</v>
      </c>
      <c r="B67" t="s">
        <v>10</v>
      </c>
      <c r="C67" t="s">
        <v>9</v>
      </c>
    </row>
    <row r="68" spans="1:3" x14ac:dyDescent="0.45">
      <c r="A68" s="1">
        <v>42071</v>
      </c>
      <c r="B68" t="s">
        <v>10</v>
      </c>
      <c r="C68" t="s">
        <v>9</v>
      </c>
    </row>
    <row r="69" spans="1:3" x14ac:dyDescent="0.45">
      <c r="A69" s="1">
        <v>42072</v>
      </c>
      <c r="B69" t="s">
        <v>10</v>
      </c>
      <c r="C69" t="s">
        <v>10</v>
      </c>
    </row>
    <row r="70" spans="1:3" x14ac:dyDescent="0.45">
      <c r="A70" s="1">
        <v>42073</v>
      </c>
      <c r="B70" t="s">
        <v>10</v>
      </c>
      <c r="C70" t="s">
        <v>9</v>
      </c>
    </row>
    <row r="71" spans="1:3" x14ac:dyDescent="0.45">
      <c r="A71" s="1">
        <v>42074</v>
      </c>
      <c r="B71" t="s">
        <v>10</v>
      </c>
      <c r="C71" t="s">
        <v>9</v>
      </c>
    </row>
    <row r="72" spans="1:3" x14ac:dyDescent="0.45">
      <c r="A72" s="1">
        <v>42075</v>
      </c>
      <c r="B72" t="s">
        <v>10</v>
      </c>
      <c r="C72" t="s">
        <v>9</v>
      </c>
    </row>
    <row r="73" spans="1:3" x14ac:dyDescent="0.45">
      <c r="A73" s="1">
        <v>42076</v>
      </c>
      <c r="B73" t="s">
        <v>10</v>
      </c>
      <c r="C73" t="s">
        <v>9</v>
      </c>
    </row>
    <row r="74" spans="1:3" x14ac:dyDescent="0.45">
      <c r="A74" s="1">
        <v>42077</v>
      </c>
      <c r="B74" t="s">
        <v>10</v>
      </c>
      <c r="C74" t="s">
        <v>9</v>
      </c>
    </row>
    <row r="75" spans="1:3" x14ac:dyDescent="0.45">
      <c r="A75" s="1">
        <v>42078</v>
      </c>
      <c r="B75" t="s">
        <v>10</v>
      </c>
      <c r="C75" t="s">
        <v>9</v>
      </c>
    </row>
    <row r="76" spans="1:3" x14ac:dyDescent="0.45">
      <c r="A76" s="1">
        <v>42079</v>
      </c>
      <c r="B76" t="s">
        <v>10</v>
      </c>
      <c r="C76" t="s">
        <v>9</v>
      </c>
    </row>
    <row r="77" spans="1:3" x14ac:dyDescent="0.45">
      <c r="A77" s="1">
        <v>42080</v>
      </c>
      <c r="B77" t="s">
        <v>10</v>
      </c>
      <c r="C77" t="s">
        <v>9</v>
      </c>
    </row>
    <row r="78" spans="1:3" x14ac:dyDescent="0.45">
      <c r="A78" s="1">
        <v>42081</v>
      </c>
      <c r="B78" t="s">
        <v>10</v>
      </c>
      <c r="C78" t="s">
        <v>9</v>
      </c>
    </row>
    <row r="79" spans="1:3" x14ac:dyDescent="0.45">
      <c r="A79" s="1">
        <v>42082</v>
      </c>
      <c r="B79" t="s">
        <v>10</v>
      </c>
      <c r="C79" t="s">
        <v>9</v>
      </c>
    </row>
    <row r="80" spans="1:3" x14ac:dyDescent="0.45">
      <c r="A80" s="1">
        <v>42083</v>
      </c>
      <c r="B80" t="s">
        <v>10</v>
      </c>
      <c r="C80" t="s">
        <v>9</v>
      </c>
    </row>
    <row r="81" spans="1:3" x14ac:dyDescent="0.45">
      <c r="A81" s="1">
        <v>42084</v>
      </c>
      <c r="B81" t="s">
        <v>10</v>
      </c>
      <c r="C81" t="s">
        <v>9</v>
      </c>
    </row>
    <row r="82" spans="1:3" x14ac:dyDescent="0.45">
      <c r="A82" s="1">
        <v>42085</v>
      </c>
      <c r="B82" t="s">
        <v>10</v>
      </c>
      <c r="C82" t="s">
        <v>9</v>
      </c>
    </row>
    <row r="83" spans="1:3" x14ac:dyDescent="0.45">
      <c r="A83" s="1">
        <v>42086</v>
      </c>
      <c r="B83" t="s">
        <v>10</v>
      </c>
      <c r="C83" t="s">
        <v>9</v>
      </c>
    </row>
    <row r="84" spans="1:3" x14ac:dyDescent="0.45">
      <c r="A84" s="1">
        <v>42087</v>
      </c>
      <c r="B84" t="s">
        <v>10</v>
      </c>
      <c r="C84" t="s">
        <v>9</v>
      </c>
    </row>
    <row r="85" spans="1:3" x14ac:dyDescent="0.45">
      <c r="A85" s="1">
        <v>42088</v>
      </c>
      <c r="B85" t="s">
        <v>10</v>
      </c>
      <c r="C85" t="s">
        <v>9</v>
      </c>
    </row>
    <row r="86" spans="1:3" x14ac:dyDescent="0.45">
      <c r="A86" s="1">
        <v>42089</v>
      </c>
      <c r="B86" t="s">
        <v>10</v>
      </c>
      <c r="C86" t="s">
        <v>9</v>
      </c>
    </row>
    <row r="87" spans="1:3" x14ac:dyDescent="0.45">
      <c r="A87" s="1">
        <v>42090</v>
      </c>
      <c r="B87" t="s">
        <v>9</v>
      </c>
      <c r="C87" t="s">
        <v>9</v>
      </c>
    </row>
    <row r="88" spans="1:3" x14ac:dyDescent="0.45">
      <c r="A88" s="1">
        <v>42091</v>
      </c>
      <c r="B88" t="s">
        <v>9</v>
      </c>
      <c r="C88" t="s">
        <v>9</v>
      </c>
    </row>
    <row r="89" spans="1:3" x14ac:dyDescent="0.45">
      <c r="A89" s="1">
        <v>42092</v>
      </c>
      <c r="B89" t="s">
        <v>9</v>
      </c>
      <c r="C89" t="s">
        <v>9</v>
      </c>
    </row>
    <row r="90" spans="1:3" x14ac:dyDescent="0.45">
      <c r="A90" s="1">
        <v>42093</v>
      </c>
      <c r="B90" t="s">
        <v>9</v>
      </c>
      <c r="C90" t="s">
        <v>9</v>
      </c>
    </row>
    <row r="91" spans="1:3" x14ac:dyDescent="0.45">
      <c r="A91" s="1">
        <v>42094</v>
      </c>
      <c r="B91" t="s">
        <v>9</v>
      </c>
      <c r="C91" t="s">
        <v>9</v>
      </c>
    </row>
    <row r="92" spans="1:3" x14ac:dyDescent="0.45">
      <c r="A92" s="1">
        <v>42095</v>
      </c>
      <c r="B92" t="s">
        <v>9</v>
      </c>
      <c r="C92" t="s">
        <v>9</v>
      </c>
    </row>
    <row r="93" spans="1:3" x14ac:dyDescent="0.45">
      <c r="A93" s="1">
        <v>42096</v>
      </c>
      <c r="B93" t="s">
        <v>9</v>
      </c>
      <c r="C93" t="s">
        <v>9</v>
      </c>
    </row>
    <row r="94" spans="1:3" x14ac:dyDescent="0.45">
      <c r="A94" s="1">
        <v>42097</v>
      </c>
      <c r="B94" t="s">
        <v>9</v>
      </c>
      <c r="C94" t="s">
        <v>10</v>
      </c>
    </row>
    <row r="95" spans="1:3" x14ac:dyDescent="0.45">
      <c r="A95" s="1">
        <v>42098</v>
      </c>
      <c r="B95" t="s">
        <v>9</v>
      </c>
      <c r="C95" t="s">
        <v>10</v>
      </c>
    </row>
    <row r="96" spans="1:3" x14ac:dyDescent="0.45">
      <c r="A96" s="1">
        <v>42099</v>
      </c>
      <c r="B96" t="s">
        <v>9</v>
      </c>
      <c r="C96" t="s">
        <v>9</v>
      </c>
    </row>
    <row r="97" spans="1:3" x14ac:dyDescent="0.45">
      <c r="A97" s="1">
        <v>42100</v>
      </c>
      <c r="B97" t="s">
        <v>9</v>
      </c>
      <c r="C97" t="s">
        <v>10</v>
      </c>
    </row>
    <row r="98" spans="1:3" x14ac:dyDescent="0.45">
      <c r="A98" s="1">
        <v>42101</v>
      </c>
      <c r="B98" t="s">
        <v>9</v>
      </c>
      <c r="C98" t="s">
        <v>9</v>
      </c>
    </row>
    <row r="99" spans="1:3" x14ac:dyDescent="0.45">
      <c r="A99" s="1">
        <v>42102</v>
      </c>
      <c r="B99" t="s">
        <v>9</v>
      </c>
      <c r="C99" t="s">
        <v>9</v>
      </c>
    </row>
    <row r="100" spans="1:3" x14ac:dyDescent="0.45">
      <c r="A100" s="1">
        <v>42103</v>
      </c>
      <c r="B100" t="s">
        <v>9</v>
      </c>
      <c r="C100" t="s">
        <v>9</v>
      </c>
    </row>
    <row r="101" spans="1:3" x14ac:dyDescent="0.45">
      <c r="A101" s="1">
        <v>42104</v>
      </c>
      <c r="B101" t="s">
        <v>9</v>
      </c>
      <c r="C101" t="s">
        <v>9</v>
      </c>
    </row>
    <row r="102" spans="1:3" x14ac:dyDescent="0.45">
      <c r="A102" s="1">
        <v>42105</v>
      </c>
      <c r="B102" t="s">
        <v>9</v>
      </c>
      <c r="C102" t="s">
        <v>9</v>
      </c>
    </row>
    <row r="103" spans="1:3" x14ac:dyDescent="0.45">
      <c r="A103" s="1">
        <v>42106</v>
      </c>
      <c r="B103" t="s">
        <v>9</v>
      </c>
      <c r="C103" t="s">
        <v>9</v>
      </c>
    </row>
    <row r="104" spans="1:3" x14ac:dyDescent="0.45">
      <c r="A104" s="1">
        <v>42107</v>
      </c>
      <c r="B104" t="s">
        <v>9</v>
      </c>
      <c r="C104" t="s">
        <v>9</v>
      </c>
    </row>
    <row r="105" spans="1:3" x14ac:dyDescent="0.45">
      <c r="A105" s="1">
        <v>42108</v>
      </c>
      <c r="B105" t="s">
        <v>10</v>
      </c>
      <c r="C105" t="s">
        <v>9</v>
      </c>
    </row>
    <row r="106" spans="1:3" x14ac:dyDescent="0.45">
      <c r="A106" s="1">
        <v>42109</v>
      </c>
      <c r="B106" t="s">
        <v>10</v>
      </c>
      <c r="C106" t="s">
        <v>9</v>
      </c>
    </row>
    <row r="107" spans="1:3" x14ac:dyDescent="0.45">
      <c r="A107" s="1">
        <v>42110</v>
      </c>
      <c r="B107" t="s">
        <v>10</v>
      </c>
      <c r="C107" t="s">
        <v>9</v>
      </c>
    </row>
    <row r="108" spans="1:3" x14ac:dyDescent="0.45">
      <c r="A108" s="1">
        <v>42111</v>
      </c>
      <c r="B108" t="s">
        <v>10</v>
      </c>
      <c r="C108" t="s">
        <v>9</v>
      </c>
    </row>
    <row r="109" spans="1:3" x14ac:dyDescent="0.45">
      <c r="A109" s="1">
        <v>42112</v>
      </c>
      <c r="B109" t="s">
        <v>10</v>
      </c>
      <c r="C109" t="s">
        <v>9</v>
      </c>
    </row>
    <row r="110" spans="1:3" x14ac:dyDescent="0.45">
      <c r="A110" s="1">
        <v>42113</v>
      </c>
      <c r="B110" t="s">
        <v>10</v>
      </c>
      <c r="C110" t="s">
        <v>9</v>
      </c>
    </row>
    <row r="111" spans="1:3" x14ac:dyDescent="0.45">
      <c r="A111" s="1">
        <v>42114</v>
      </c>
      <c r="B111" t="s">
        <v>10</v>
      </c>
      <c r="C111" t="s">
        <v>9</v>
      </c>
    </row>
    <row r="112" spans="1:3" x14ac:dyDescent="0.45">
      <c r="A112" s="1">
        <v>42115</v>
      </c>
      <c r="B112" t="s">
        <v>10</v>
      </c>
      <c r="C112" t="s">
        <v>9</v>
      </c>
    </row>
    <row r="113" spans="1:3" x14ac:dyDescent="0.45">
      <c r="A113" s="1">
        <v>42116</v>
      </c>
      <c r="B113" t="s">
        <v>10</v>
      </c>
      <c r="C113" t="s">
        <v>9</v>
      </c>
    </row>
    <row r="114" spans="1:3" x14ac:dyDescent="0.45">
      <c r="A114" s="1">
        <v>42117</v>
      </c>
      <c r="B114" t="s">
        <v>10</v>
      </c>
      <c r="C114" t="s">
        <v>9</v>
      </c>
    </row>
    <row r="115" spans="1:3" x14ac:dyDescent="0.45">
      <c r="A115" s="1">
        <v>42118</v>
      </c>
      <c r="B115" t="s">
        <v>10</v>
      </c>
      <c r="C115" t="s">
        <v>9</v>
      </c>
    </row>
    <row r="116" spans="1:3" x14ac:dyDescent="0.45">
      <c r="A116" s="1">
        <v>42119</v>
      </c>
      <c r="B116" t="s">
        <v>10</v>
      </c>
      <c r="C116" t="s">
        <v>10</v>
      </c>
    </row>
    <row r="117" spans="1:3" x14ac:dyDescent="0.45">
      <c r="A117" s="1">
        <v>42120</v>
      </c>
      <c r="B117" t="s">
        <v>10</v>
      </c>
      <c r="C117" t="s">
        <v>9</v>
      </c>
    </row>
    <row r="118" spans="1:3" x14ac:dyDescent="0.45">
      <c r="A118" s="1">
        <v>42121</v>
      </c>
      <c r="B118" t="s">
        <v>10</v>
      </c>
      <c r="C118" t="s">
        <v>9</v>
      </c>
    </row>
    <row r="119" spans="1:3" x14ac:dyDescent="0.45">
      <c r="A119" s="1">
        <v>42122</v>
      </c>
      <c r="B119" t="s">
        <v>10</v>
      </c>
      <c r="C119" t="s">
        <v>9</v>
      </c>
    </row>
    <row r="120" spans="1:3" x14ac:dyDescent="0.45">
      <c r="A120" s="1">
        <v>42123</v>
      </c>
      <c r="B120" t="s">
        <v>10</v>
      </c>
      <c r="C120" t="s">
        <v>9</v>
      </c>
    </row>
    <row r="121" spans="1:3" x14ac:dyDescent="0.45">
      <c r="A121" s="1">
        <v>42124</v>
      </c>
      <c r="B121" t="s">
        <v>10</v>
      </c>
      <c r="C121" t="s">
        <v>9</v>
      </c>
    </row>
    <row r="122" spans="1:3" x14ac:dyDescent="0.45">
      <c r="A122" s="1">
        <v>42125</v>
      </c>
      <c r="B122" t="s">
        <v>10</v>
      </c>
      <c r="C122" t="s">
        <v>9</v>
      </c>
    </row>
    <row r="123" spans="1:3" x14ac:dyDescent="0.45">
      <c r="A123" s="1">
        <v>42126</v>
      </c>
      <c r="B123" t="s">
        <v>10</v>
      </c>
      <c r="C123" t="s">
        <v>9</v>
      </c>
    </row>
    <row r="124" spans="1:3" x14ac:dyDescent="0.45">
      <c r="A124" s="1">
        <v>42127</v>
      </c>
      <c r="B124" t="s">
        <v>10</v>
      </c>
      <c r="C124" t="s">
        <v>9</v>
      </c>
    </row>
    <row r="125" spans="1:3" x14ac:dyDescent="0.45">
      <c r="A125" s="1">
        <v>42128</v>
      </c>
      <c r="B125" t="s">
        <v>10</v>
      </c>
      <c r="C125" t="s">
        <v>9</v>
      </c>
    </row>
    <row r="126" spans="1:3" x14ac:dyDescent="0.45">
      <c r="A126" s="1">
        <v>42129</v>
      </c>
      <c r="B126" t="s">
        <v>10</v>
      </c>
      <c r="C126" t="s">
        <v>9</v>
      </c>
    </row>
    <row r="127" spans="1:3" x14ac:dyDescent="0.45">
      <c r="A127" s="1">
        <v>42130</v>
      </c>
      <c r="B127" t="s">
        <v>10</v>
      </c>
      <c r="C127" t="s">
        <v>9</v>
      </c>
    </row>
    <row r="128" spans="1:3" x14ac:dyDescent="0.45">
      <c r="A128" s="1">
        <v>42131</v>
      </c>
      <c r="B128" t="s">
        <v>10</v>
      </c>
      <c r="C128" t="s">
        <v>9</v>
      </c>
    </row>
    <row r="129" spans="1:3" x14ac:dyDescent="0.45">
      <c r="A129" s="1">
        <v>42132</v>
      </c>
      <c r="B129" t="s">
        <v>10</v>
      </c>
      <c r="C129" t="s">
        <v>9</v>
      </c>
    </row>
    <row r="130" spans="1:3" x14ac:dyDescent="0.45">
      <c r="A130" s="1">
        <v>42133</v>
      </c>
      <c r="B130" t="s">
        <v>10</v>
      </c>
      <c r="C130" t="s">
        <v>9</v>
      </c>
    </row>
    <row r="131" spans="1:3" x14ac:dyDescent="0.45">
      <c r="A131" s="1">
        <v>42134</v>
      </c>
      <c r="B131" t="s">
        <v>10</v>
      </c>
      <c r="C131" t="s">
        <v>9</v>
      </c>
    </row>
    <row r="132" spans="1:3" x14ac:dyDescent="0.45">
      <c r="A132" s="1">
        <v>42135</v>
      </c>
      <c r="B132" t="s">
        <v>10</v>
      </c>
      <c r="C132" t="s">
        <v>9</v>
      </c>
    </row>
    <row r="133" spans="1:3" x14ac:dyDescent="0.45">
      <c r="A133" s="1">
        <v>42136</v>
      </c>
      <c r="B133" t="s">
        <v>10</v>
      </c>
      <c r="C133" t="s">
        <v>9</v>
      </c>
    </row>
    <row r="134" spans="1:3" x14ac:dyDescent="0.45">
      <c r="A134" s="1">
        <v>42137</v>
      </c>
      <c r="B134" t="s">
        <v>10</v>
      </c>
      <c r="C134" t="s">
        <v>9</v>
      </c>
    </row>
    <row r="135" spans="1:3" x14ac:dyDescent="0.45">
      <c r="A135" s="1">
        <v>42138</v>
      </c>
      <c r="B135" t="s">
        <v>10</v>
      </c>
      <c r="C135" t="s">
        <v>9</v>
      </c>
    </row>
    <row r="136" spans="1:3" x14ac:dyDescent="0.45">
      <c r="A136" s="1">
        <v>42139</v>
      </c>
      <c r="B136" t="s">
        <v>10</v>
      </c>
      <c r="C136" t="s">
        <v>9</v>
      </c>
    </row>
    <row r="137" spans="1:3" x14ac:dyDescent="0.45">
      <c r="A137" s="1">
        <v>42140</v>
      </c>
      <c r="B137" t="s">
        <v>10</v>
      </c>
      <c r="C137" t="s">
        <v>9</v>
      </c>
    </row>
    <row r="138" spans="1:3" x14ac:dyDescent="0.45">
      <c r="A138" s="1">
        <v>42141</v>
      </c>
      <c r="B138" t="s">
        <v>10</v>
      </c>
      <c r="C138" t="s">
        <v>9</v>
      </c>
    </row>
    <row r="139" spans="1:3" x14ac:dyDescent="0.45">
      <c r="A139" s="1">
        <v>42142</v>
      </c>
      <c r="B139" t="s">
        <v>10</v>
      </c>
      <c r="C139" t="s">
        <v>9</v>
      </c>
    </row>
    <row r="140" spans="1:3" x14ac:dyDescent="0.45">
      <c r="A140" s="1">
        <v>42143</v>
      </c>
      <c r="B140" t="s">
        <v>10</v>
      </c>
      <c r="C140" t="s">
        <v>9</v>
      </c>
    </row>
    <row r="141" spans="1:3" x14ac:dyDescent="0.45">
      <c r="A141" s="1">
        <v>42144</v>
      </c>
      <c r="B141" t="s">
        <v>10</v>
      </c>
      <c r="C141" t="s">
        <v>9</v>
      </c>
    </row>
    <row r="142" spans="1:3" x14ac:dyDescent="0.45">
      <c r="A142" s="1">
        <v>42145</v>
      </c>
      <c r="B142" t="s">
        <v>10</v>
      </c>
      <c r="C142" t="s">
        <v>9</v>
      </c>
    </row>
    <row r="143" spans="1:3" x14ac:dyDescent="0.45">
      <c r="A143" s="1">
        <v>42146</v>
      </c>
      <c r="B143" t="s">
        <v>10</v>
      </c>
      <c r="C143" t="s">
        <v>9</v>
      </c>
    </row>
    <row r="144" spans="1:3" x14ac:dyDescent="0.45">
      <c r="A144" s="1">
        <v>42147</v>
      </c>
      <c r="B144" t="s">
        <v>10</v>
      </c>
      <c r="C144" t="s">
        <v>9</v>
      </c>
    </row>
    <row r="145" spans="1:3" x14ac:dyDescent="0.45">
      <c r="A145" s="1">
        <v>42148</v>
      </c>
      <c r="B145" t="s">
        <v>10</v>
      </c>
      <c r="C145" t="s">
        <v>9</v>
      </c>
    </row>
    <row r="146" spans="1:3" x14ac:dyDescent="0.45">
      <c r="A146" s="1">
        <v>42149</v>
      </c>
      <c r="B146" t="s">
        <v>10</v>
      </c>
      <c r="C146" t="s">
        <v>9</v>
      </c>
    </row>
    <row r="147" spans="1:3" x14ac:dyDescent="0.45">
      <c r="A147" s="1">
        <v>42150</v>
      </c>
      <c r="B147" t="s">
        <v>10</v>
      </c>
      <c r="C147" t="s">
        <v>9</v>
      </c>
    </row>
    <row r="148" spans="1:3" x14ac:dyDescent="0.45">
      <c r="A148" s="1">
        <v>42151</v>
      </c>
      <c r="B148" t="s">
        <v>10</v>
      </c>
      <c r="C148" t="s">
        <v>9</v>
      </c>
    </row>
    <row r="149" spans="1:3" x14ac:dyDescent="0.45">
      <c r="A149" s="1">
        <v>42152</v>
      </c>
      <c r="B149" t="s">
        <v>10</v>
      </c>
      <c r="C149" t="s">
        <v>9</v>
      </c>
    </row>
    <row r="150" spans="1:3" x14ac:dyDescent="0.45">
      <c r="A150" s="1">
        <v>42153</v>
      </c>
      <c r="B150" t="s">
        <v>10</v>
      </c>
      <c r="C150" t="s">
        <v>9</v>
      </c>
    </row>
    <row r="151" spans="1:3" x14ac:dyDescent="0.45">
      <c r="A151" s="1">
        <v>42154</v>
      </c>
      <c r="B151" t="s">
        <v>10</v>
      </c>
      <c r="C151" t="s">
        <v>9</v>
      </c>
    </row>
    <row r="152" spans="1:3" x14ac:dyDescent="0.45">
      <c r="A152" s="1">
        <v>42155</v>
      </c>
      <c r="B152" t="s">
        <v>10</v>
      </c>
      <c r="C152" t="s">
        <v>9</v>
      </c>
    </row>
    <row r="153" spans="1:3" x14ac:dyDescent="0.45">
      <c r="A153" s="1">
        <v>42156</v>
      </c>
      <c r="B153" t="s">
        <v>10</v>
      </c>
      <c r="C153" t="s">
        <v>9</v>
      </c>
    </row>
    <row r="154" spans="1:3" x14ac:dyDescent="0.45">
      <c r="A154" s="1">
        <v>42157</v>
      </c>
      <c r="B154" t="s">
        <v>10</v>
      </c>
      <c r="C154" t="s">
        <v>9</v>
      </c>
    </row>
    <row r="155" spans="1:3" x14ac:dyDescent="0.45">
      <c r="A155" s="1">
        <v>42158</v>
      </c>
      <c r="B155" t="s">
        <v>10</v>
      </c>
      <c r="C155" t="s">
        <v>9</v>
      </c>
    </row>
    <row r="156" spans="1:3" x14ac:dyDescent="0.45">
      <c r="A156" s="1">
        <v>42159</v>
      </c>
      <c r="B156" t="s">
        <v>10</v>
      </c>
      <c r="C156" t="s">
        <v>9</v>
      </c>
    </row>
    <row r="157" spans="1:3" x14ac:dyDescent="0.45">
      <c r="A157" s="1">
        <v>42160</v>
      </c>
      <c r="B157" t="s">
        <v>10</v>
      </c>
      <c r="C157" t="s">
        <v>9</v>
      </c>
    </row>
    <row r="158" spans="1:3" x14ac:dyDescent="0.45">
      <c r="A158" s="1">
        <v>42161</v>
      </c>
      <c r="B158" t="s">
        <v>10</v>
      </c>
      <c r="C158" t="s">
        <v>9</v>
      </c>
    </row>
    <row r="159" spans="1:3" x14ac:dyDescent="0.45">
      <c r="A159" s="1">
        <v>42162</v>
      </c>
      <c r="B159" t="s">
        <v>10</v>
      </c>
      <c r="C159" t="s">
        <v>9</v>
      </c>
    </row>
    <row r="160" spans="1:3" x14ac:dyDescent="0.45">
      <c r="A160" s="1">
        <v>42163</v>
      </c>
      <c r="B160" t="s">
        <v>10</v>
      </c>
      <c r="C160" t="s">
        <v>10</v>
      </c>
    </row>
    <row r="161" spans="1:3" x14ac:dyDescent="0.45">
      <c r="A161" s="1">
        <v>42164</v>
      </c>
      <c r="B161" t="s">
        <v>10</v>
      </c>
      <c r="C161" t="s">
        <v>9</v>
      </c>
    </row>
    <row r="162" spans="1:3" x14ac:dyDescent="0.45">
      <c r="A162" s="1">
        <v>42165</v>
      </c>
      <c r="B162" t="s">
        <v>10</v>
      </c>
      <c r="C162" t="s">
        <v>9</v>
      </c>
    </row>
    <row r="163" spans="1:3" x14ac:dyDescent="0.45">
      <c r="A163" s="1">
        <v>42166</v>
      </c>
      <c r="B163" t="s">
        <v>10</v>
      </c>
      <c r="C163" t="s">
        <v>9</v>
      </c>
    </row>
    <row r="164" spans="1:3" x14ac:dyDescent="0.45">
      <c r="A164" s="1">
        <v>42167</v>
      </c>
      <c r="B164" t="s">
        <v>10</v>
      </c>
      <c r="C164" t="s">
        <v>9</v>
      </c>
    </row>
    <row r="165" spans="1:3" x14ac:dyDescent="0.45">
      <c r="A165" s="1">
        <v>42168</v>
      </c>
      <c r="B165" t="s">
        <v>10</v>
      </c>
      <c r="C165" t="s">
        <v>9</v>
      </c>
    </row>
    <row r="166" spans="1:3" x14ac:dyDescent="0.45">
      <c r="A166" s="1">
        <v>42169</v>
      </c>
      <c r="B166" t="s">
        <v>10</v>
      </c>
      <c r="C166" t="s">
        <v>9</v>
      </c>
    </row>
    <row r="167" spans="1:3" x14ac:dyDescent="0.45">
      <c r="A167" s="1">
        <v>42170</v>
      </c>
      <c r="B167" t="s">
        <v>10</v>
      </c>
      <c r="C167" t="s">
        <v>9</v>
      </c>
    </row>
    <row r="168" spans="1:3" x14ac:dyDescent="0.45">
      <c r="A168" s="1">
        <v>42171</v>
      </c>
      <c r="B168" t="s">
        <v>10</v>
      </c>
      <c r="C168" t="s">
        <v>9</v>
      </c>
    </row>
    <row r="169" spans="1:3" x14ac:dyDescent="0.45">
      <c r="A169" s="1">
        <v>42172</v>
      </c>
      <c r="B169" t="s">
        <v>10</v>
      </c>
      <c r="C169" t="s">
        <v>9</v>
      </c>
    </row>
    <row r="170" spans="1:3" x14ac:dyDescent="0.45">
      <c r="A170" s="1">
        <v>42173</v>
      </c>
      <c r="B170" t="s">
        <v>10</v>
      </c>
      <c r="C170" t="s">
        <v>9</v>
      </c>
    </row>
    <row r="171" spans="1:3" x14ac:dyDescent="0.45">
      <c r="A171" s="1">
        <v>42174</v>
      </c>
      <c r="B171" t="s">
        <v>10</v>
      </c>
      <c r="C171" t="s">
        <v>9</v>
      </c>
    </row>
    <row r="172" spans="1:3" x14ac:dyDescent="0.45">
      <c r="A172" s="1">
        <v>42175</v>
      </c>
      <c r="B172" t="s">
        <v>10</v>
      </c>
      <c r="C172" t="s">
        <v>9</v>
      </c>
    </row>
    <row r="173" spans="1:3" x14ac:dyDescent="0.45">
      <c r="A173" s="1">
        <v>42176</v>
      </c>
      <c r="B173" t="s">
        <v>10</v>
      </c>
      <c r="C173" t="s">
        <v>9</v>
      </c>
    </row>
    <row r="174" spans="1:3" x14ac:dyDescent="0.45">
      <c r="A174" s="1">
        <v>42177</v>
      </c>
      <c r="B174" t="s">
        <v>10</v>
      </c>
      <c r="C174" t="s">
        <v>9</v>
      </c>
    </row>
    <row r="175" spans="1:3" x14ac:dyDescent="0.45">
      <c r="A175" s="1">
        <v>42178</v>
      </c>
      <c r="B175" t="s">
        <v>10</v>
      </c>
      <c r="C175" t="s">
        <v>9</v>
      </c>
    </row>
    <row r="176" spans="1:3" x14ac:dyDescent="0.45">
      <c r="A176" s="1">
        <v>42179</v>
      </c>
      <c r="B176" t="s">
        <v>10</v>
      </c>
      <c r="C176" t="s">
        <v>9</v>
      </c>
    </row>
    <row r="177" spans="1:3" x14ac:dyDescent="0.45">
      <c r="A177" s="1">
        <v>42180</v>
      </c>
      <c r="B177" t="s">
        <v>10</v>
      </c>
      <c r="C177" t="s">
        <v>9</v>
      </c>
    </row>
    <row r="178" spans="1:3" x14ac:dyDescent="0.45">
      <c r="A178" s="1">
        <v>42181</v>
      </c>
      <c r="B178" t="s">
        <v>9</v>
      </c>
      <c r="C178" t="s">
        <v>9</v>
      </c>
    </row>
    <row r="179" spans="1:3" x14ac:dyDescent="0.45">
      <c r="A179" s="1">
        <v>42182</v>
      </c>
      <c r="B179" t="s">
        <v>9</v>
      </c>
      <c r="C179" t="s">
        <v>9</v>
      </c>
    </row>
    <row r="180" spans="1:3" x14ac:dyDescent="0.45">
      <c r="A180" s="1">
        <v>42183</v>
      </c>
      <c r="B180" t="s">
        <v>9</v>
      </c>
      <c r="C180" t="s">
        <v>9</v>
      </c>
    </row>
    <row r="181" spans="1:3" x14ac:dyDescent="0.45">
      <c r="A181" s="1">
        <v>42184</v>
      </c>
      <c r="B181" t="s">
        <v>9</v>
      </c>
      <c r="C181" t="s">
        <v>9</v>
      </c>
    </row>
    <row r="182" spans="1:3" x14ac:dyDescent="0.45">
      <c r="A182" s="1">
        <v>42185</v>
      </c>
      <c r="B182" t="s">
        <v>9</v>
      </c>
      <c r="C182" t="s">
        <v>9</v>
      </c>
    </row>
    <row r="183" spans="1:3" x14ac:dyDescent="0.45">
      <c r="A183" s="1">
        <v>42186</v>
      </c>
      <c r="B183" t="s">
        <v>9</v>
      </c>
      <c r="C183" t="s">
        <v>9</v>
      </c>
    </row>
    <row r="184" spans="1:3" x14ac:dyDescent="0.45">
      <c r="A184" s="1">
        <v>42187</v>
      </c>
      <c r="B184" t="s">
        <v>9</v>
      </c>
      <c r="C184" t="s">
        <v>9</v>
      </c>
    </row>
    <row r="185" spans="1:3" x14ac:dyDescent="0.45">
      <c r="A185" s="1">
        <v>42188</v>
      </c>
      <c r="B185" t="s">
        <v>9</v>
      </c>
      <c r="C185" t="s">
        <v>9</v>
      </c>
    </row>
    <row r="186" spans="1:3" x14ac:dyDescent="0.45">
      <c r="A186" s="1">
        <v>42189</v>
      </c>
      <c r="B186" t="s">
        <v>9</v>
      </c>
      <c r="C186" t="s">
        <v>9</v>
      </c>
    </row>
    <row r="187" spans="1:3" x14ac:dyDescent="0.45">
      <c r="A187" s="1">
        <v>42190</v>
      </c>
      <c r="B187" t="s">
        <v>9</v>
      </c>
      <c r="C187" t="s">
        <v>9</v>
      </c>
    </row>
    <row r="188" spans="1:3" x14ac:dyDescent="0.45">
      <c r="A188" s="1">
        <v>42191</v>
      </c>
      <c r="B188" t="s">
        <v>9</v>
      </c>
      <c r="C188" t="s">
        <v>9</v>
      </c>
    </row>
    <row r="189" spans="1:3" x14ac:dyDescent="0.45">
      <c r="A189" s="1">
        <v>42192</v>
      </c>
      <c r="B189" t="s">
        <v>9</v>
      </c>
      <c r="C189" t="s">
        <v>9</v>
      </c>
    </row>
    <row r="190" spans="1:3" x14ac:dyDescent="0.45">
      <c r="A190" s="1">
        <v>42193</v>
      </c>
      <c r="B190" t="s">
        <v>9</v>
      </c>
      <c r="C190" t="s">
        <v>9</v>
      </c>
    </row>
    <row r="191" spans="1:3" x14ac:dyDescent="0.45">
      <c r="A191" s="1">
        <v>42194</v>
      </c>
      <c r="B191" t="s">
        <v>9</v>
      </c>
      <c r="C191" t="s">
        <v>9</v>
      </c>
    </row>
    <row r="192" spans="1:3" x14ac:dyDescent="0.45">
      <c r="A192" s="1">
        <v>42195</v>
      </c>
      <c r="B192" t="s">
        <v>9</v>
      </c>
      <c r="C192" t="s">
        <v>9</v>
      </c>
    </row>
    <row r="193" spans="1:3" x14ac:dyDescent="0.45">
      <c r="A193" s="1">
        <v>42196</v>
      </c>
      <c r="B193" t="s">
        <v>9</v>
      </c>
      <c r="C193" t="s">
        <v>9</v>
      </c>
    </row>
    <row r="194" spans="1:3" x14ac:dyDescent="0.45">
      <c r="A194" s="1">
        <v>42197</v>
      </c>
      <c r="B194" t="s">
        <v>9</v>
      </c>
      <c r="C194" t="s">
        <v>9</v>
      </c>
    </row>
    <row r="195" spans="1:3" x14ac:dyDescent="0.45">
      <c r="A195" s="1">
        <v>42198</v>
      </c>
      <c r="B195" t="s">
        <v>9</v>
      </c>
      <c r="C195" t="s">
        <v>9</v>
      </c>
    </row>
    <row r="196" spans="1:3" x14ac:dyDescent="0.45">
      <c r="A196" s="1">
        <v>42199</v>
      </c>
      <c r="B196" t="s">
        <v>10</v>
      </c>
      <c r="C196" t="s">
        <v>9</v>
      </c>
    </row>
    <row r="197" spans="1:3" x14ac:dyDescent="0.45">
      <c r="A197" s="1">
        <v>42200</v>
      </c>
      <c r="B197" t="s">
        <v>10</v>
      </c>
      <c r="C197" t="s">
        <v>9</v>
      </c>
    </row>
    <row r="198" spans="1:3" x14ac:dyDescent="0.45">
      <c r="A198" s="1">
        <v>42201</v>
      </c>
      <c r="B198" t="s">
        <v>10</v>
      </c>
      <c r="C198" t="s">
        <v>9</v>
      </c>
    </row>
    <row r="199" spans="1:3" x14ac:dyDescent="0.45">
      <c r="A199" s="1">
        <v>42202</v>
      </c>
      <c r="B199" t="s">
        <v>10</v>
      </c>
      <c r="C199" t="s">
        <v>9</v>
      </c>
    </row>
    <row r="200" spans="1:3" x14ac:dyDescent="0.45">
      <c r="A200" s="1">
        <v>42203</v>
      </c>
      <c r="B200" t="s">
        <v>10</v>
      </c>
      <c r="C200" t="s">
        <v>9</v>
      </c>
    </row>
    <row r="201" spans="1:3" x14ac:dyDescent="0.45">
      <c r="A201" s="1">
        <v>42204</v>
      </c>
      <c r="B201" t="s">
        <v>10</v>
      </c>
      <c r="C201" t="s">
        <v>9</v>
      </c>
    </row>
    <row r="202" spans="1:3" x14ac:dyDescent="0.45">
      <c r="A202" s="1">
        <v>42205</v>
      </c>
      <c r="B202" t="s">
        <v>10</v>
      </c>
      <c r="C202" t="s">
        <v>9</v>
      </c>
    </row>
    <row r="203" spans="1:3" x14ac:dyDescent="0.45">
      <c r="A203" s="1">
        <v>42206</v>
      </c>
      <c r="B203" t="s">
        <v>10</v>
      </c>
      <c r="C203" t="s">
        <v>9</v>
      </c>
    </row>
    <row r="204" spans="1:3" x14ac:dyDescent="0.45">
      <c r="A204" s="1">
        <v>42207</v>
      </c>
      <c r="B204" t="s">
        <v>10</v>
      </c>
      <c r="C204" t="s">
        <v>9</v>
      </c>
    </row>
    <row r="205" spans="1:3" x14ac:dyDescent="0.45">
      <c r="A205" s="1">
        <v>42208</v>
      </c>
      <c r="B205" t="s">
        <v>10</v>
      </c>
      <c r="C205" t="s">
        <v>9</v>
      </c>
    </row>
    <row r="206" spans="1:3" x14ac:dyDescent="0.45">
      <c r="A206" s="1">
        <v>42209</v>
      </c>
      <c r="B206" t="s">
        <v>10</v>
      </c>
      <c r="C206" t="s">
        <v>9</v>
      </c>
    </row>
    <row r="207" spans="1:3" x14ac:dyDescent="0.45">
      <c r="A207" s="1">
        <v>42210</v>
      </c>
      <c r="B207" t="s">
        <v>10</v>
      </c>
      <c r="C207" t="s">
        <v>9</v>
      </c>
    </row>
    <row r="208" spans="1:3" x14ac:dyDescent="0.45">
      <c r="A208" s="1">
        <v>42211</v>
      </c>
      <c r="B208" t="s">
        <v>10</v>
      </c>
      <c r="C208" t="s">
        <v>9</v>
      </c>
    </row>
    <row r="209" spans="1:3" x14ac:dyDescent="0.45">
      <c r="A209" s="1">
        <v>42212</v>
      </c>
      <c r="B209" t="s">
        <v>10</v>
      </c>
      <c r="C209" t="s">
        <v>9</v>
      </c>
    </row>
    <row r="210" spans="1:3" x14ac:dyDescent="0.45">
      <c r="A210" s="1">
        <v>42213</v>
      </c>
      <c r="B210" t="s">
        <v>10</v>
      </c>
      <c r="C210" t="s">
        <v>9</v>
      </c>
    </row>
    <row r="211" spans="1:3" x14ac:dyDescent="0.45">
      <c r="A211" s="1">
        <v>42214</v>
      </c>
      <c r="B211" t="s">
        <v>10</v>
      </c>
      <c r="C211" t="s">
        <v>9</v>
      </c>
    </row>
    <row r="212" spans="1:3" x14ac:dyDescent="0.45">
      <c r="A212" s="1">
        <v>42215</v>
      </c>
      <c r="B212" t="s">
        <v>10</v>
      </c>
      <c r="C212" t="s">
        <v>9</v>
      </c>
    </row>
    <row r="213" spans="1:3" x14ac:dyDescent="0.45">
      <c r="A213" s="1">
        <v>42216</v>
      </c>
      <c r="B213" t="s">
        <v>10</v>
      </c>
      <c r="C213" t="s">
        <v>9</v>
      </c>
    </row>
    <row r="214" spans="1:3" x14ac:dyDescent="0.45">
      <c r="A214" s="1">
        <v>42217</v>
      </c>
      <c r="B214" t="s">
        <v>10</v>
      </c>
      <c r="C214" t="s">
        <v>9</v>
      </c>
    </row>
    <row r="215" spans="1:3" x14ac:dyDescent="0.45">
      <c r="A215" s="1">
        <v>42218</v>
      </c>
      <c r="B215" t="s">
        <v>10</v>
      </c>
      <c r="C215" t="s">
        <v>9</v>
      </c>
    </row>
    <row r="216" spans="1:3" x14ac:dyDescent="0.45">
      <c r="A216" s="1">
        <v>42219</v>
      </c>
      <c r="B216" t="s">
        <v>10</v>
      </c>
      <c r="C216" t="s">
        <v>9</v>
      </c>
    </row>
    <row r="217" spans="1:3" x14ac:dyDescent="0.45">
      <c r="A217" s="1">
        <v>42220</v>
      </c>
      <c r="B217" t="s">
        <v>10</v>
      </c>
      <c r="C217" t="s">
        <v>9</v>
      </c>
    </row>
    <row r="218" spans="1:3" x14ac:dyDescent="0.45">
      <c r="A218" s="1">
        <v>42221</v>
      </c>
      <c r="B218" t="s">
        <v>10</v>
      </c>
      <c r="C218" t="s">
        <v>9</v>
      </c>
    </row>
    <row r="219" spans="1:3" x14ac:dyDescent="0.45">
      <c r="A219" s="1">
        <v>42222</v>
      </c>
      <c r="B219" t="s">
        <v>10</v>
      </c>
      <c r="C219" t="s">
        <v>9</v>
      </c>
    </row>
    <row r="220" spans="1:3" x14ac:dyDescent="0.45">
      <c r="A220" s="1">
        <v>42223</v>
      </c>
      <c r="B220" t="s">
        <v>10</v>
      </c>
      <c r="C220" t="s">
        <v>9</v>
      </c>
    </row>
    <row r="221" spans="1:3" x14ac:dyDescent="0.45">
      <c r="A221" s="1">
        <v>42224</v>
      </c>
      <c r="B221" t="s">
        <v>10</v>
      </c>
      <c r="C221" t="s">
        <v>9</v>
      </c>
    </row>
    <row r="222" spans="1:3" x14ac:dyDescent="0.45">
      <c r="A222" s="1">
        <v>42225</v>
      </c>
      <c r="B222" t="s">
        <v>10</v>
      </c>
      <c r="C222" t="s">
        <v>9</v>
      </c>
    </row>
    <row r="223" spans="1:3" x14ac:dyDescent="0.45">
      <c r="A223" s="1">
        <v>42226</v>
      </c>
      <c r="B223" t="s">
        <v>10</v>
      </c>
      <c r="C223" t="s">
        <v>9</v>
      </c>
    </row>
    <row r="224" spans="1:3" x14ac:dyDescent="0.45">
      <c r="A224" s="1">
        <v>42227</v>
      </c>
      <c r="B224" t="s">
        <v>10</v>
      </c>
      <c r="C224" t="s">
        <v>9</v>
      </c>
    </row>
    <row r="225" spans="1:3" x14ac:dyDescent="0.45">
      <c r="A225" s="1">
        <v>42228</v>
      </c>
      <c r="B225" t="s">
        <v>10</v>
      </c>
      <c r="C225" t="s">
        <v>9</v>
      </c>
    </row>
    <row r="226" spans="1:3" x14ac:dyDescent="0.45">
      <c r="A226" s="1">
        <v>42229</v>
      </c>
      <c r="B226" t="s">
        <v>10</v>
      </c>
      <c r="C226" t="s">
        <v>9</v>
      </c>
    </row>
    <row r="227" spans="1:3" x14ac:dyDescent="0.45">
      <c r="A227" s="1">
        <v>42230</v>
      </c>
      <c r="B227" t="s">
        <v>10</v>
      </c>
      <c r="C227" t="s">
        <v>9</v>
      </c>
    </row>
    <row r="228" spans="1:3" x14ac:dyDescent="0.45">
      <c r="A228" s="1">
        <v>42231</v>
      </c>
      <c r="B228" t="s">
        <v>10</v>
      </c>
      <c r="C228" t="s">
        <v>9</v>
      </c>
    </row>
    <row r="229" spans="1:3" x14ac:dyDescent="0.45">
      <c r="A229" s="1">
        <v>42232</v>
      </c>
      <c r="B229" t="s">
        <v>10</v>
      </c>
      <c r="C229" t="s">
        <v>9</v>
      </c>
    </row>
    <row r="230" spans="1:3" x14ac:dyDescent="0.45">
      <c r="A230" s="1">
        <v>42233</v>
      </c>
      <c r="B230" t="s">
        <v>10</v>
      </c>
      <c r="C230" t="s">
        <v>9</v>
      </c>
    </row>
    <row r="231" spans="1:3" x14ac:dyDescent="0.45">
      <c r="A231" s="1">
        <v>42234</v>
      </c>
      <c r="B231" t="s">
        <v>10</v>
      </c>
      <c r="C231" t="s">
        <v>9</v>
      </c>
    </row>
    <row r="232" spans="1:3" x14ac:dyDescent="0.45">
      <c r="A232" s="1">
        <v>42235</v>
      </c>
      <c r="B232" t="s">
        <v>10</v>
      </c>
      <c r="C232" t="s">
        <v>9</v>
      </c>
    </row>
    <row r="233" spans="1:3" x14ac:dyDescent="0.45">
      <c r="A233" s="1">
        <v>42236</v>
      </c>
      <c r="B233" t="s">
        <v>10</v>
      </c>
      <c r="C233" t="s">
        <v>9</v>
      </c>
    </row>
    <row r="234" spans="1:3" x14ac:dyDescent="0.45">
      <c r="A234" s="1">
        <v>42237</v>
      </c>
      <c r="B234" t="s">
        <v>10</v>
      </c>
      <c r="C234" t="s">
        <v>9</v>
      </c>
    </row>
    <row r="235" spans="1:3" x14ac:dyDescent="0.45">
      <c r="A235" s="1">
        <v>42238</v>
      </c>
      <c r="B235" t="s">
        <v>10</v>
      </c>
      <c r="C235" t="s">
        <v>9</v>
      </c>
    </row>
    <row r="236" spans="1:3" x14ac:dyDescent="0.45">
      <c r="A236" s="1">
        <v>42239</v>
      </c>
      <c r="B236" t="s">
        <v>10</v>
      </c>
      <c r="C236" t="s">
        <v>9</v>
      </c>
    </row>
    <row r="237" spans="1:3" x14ac:dyDescent="0.45">
      <c r="A237" s="1">
        <v>42240</v>
      </c>
      <c r="B237" t="s">
        <v>10</v>
      </c>
      <c r="C237" t="s">
        <v>9</v>
      </c>
    </row>
    <row r="238" spans="1:3" x14ac:dyDescent="0.45">
      <c r="A238" s="1">
        <v>42241</v>
      </c>
      <c r="B238" t="s">
        <v>10</v>
      </c>
      <c r="C238" t="s">
        <v>9</v>
      </c>
    </row>
    <row r="239" spans="1:3" x14ac:dyDescent="0.45">
      <c r="A239" s="1">
        <v>42242</v>
      </c>
      <c r="B239" t="s">
        <v>10</v>
      </c>
      <c r="C239" t="s">
        <v>9</v>
      </c>
    </row>
    <row r="240" spans="1:3" x14ac:dyDescent="0.45">
      <c r="A240" s="1">
        <v>42243</v>
      </c>
      <c r="B240" t="s">
        <v>10</v>
      </c>
      <c r="C240" t="s">
        <v>9</v>
      </c>
    </row>
    <row r="241" spans="1:3" x14ac:dyDescent="0.45">
      <c r="A241" s="1">
        <v>42244</v>
      </c>
      <c r="B241" t="s">
        <v>10</v>
      </c>
      <c r="C241" t="s">
        <v>9</v>
      </c>
    </row>
    <row r="242" spans="1:3" x14ac:dyDescent="0.45">
      <c r="A242" s="1">
        <v>42245</v>
      </c>
      <c r="B242" t="s">
        <v>10</v>
      </c>
      <c r="C242" t="s">
        <v>9</v>
      </c>
    </row>
    <row r="243" spans="1:3" x14ac:dyDescent="0.45">
      <c r="A243" s="1">
        <v>42246</v>
      </c>
      <c r="B243" t="s">
        <v>10</v>
      </c>
      <c r="C243" t="s">
        <v>9</v>
      </c>
    </row>
    <row r="244" spans="1:3" x14ac:dyDescent="0.45">
      <c r="A244" s="1">
        <v>42247</v>
      </c>
      <c r="B244" t="s">
        <v>10</v>
      </c>
      <c r="C244" t="s">
        <v>9</v>
      </c>
    </row>
    <row r="245" spans="1:3" x14ac:dyDescent="0.45">
      <c r="A245" s="1">
        <v>42248</v>
      </c>
      <c r="B245" t="s">
        <v>10</v>
      </c>
      <c r="C245" t="s">
        <v>9</v>
      </c>
    </row>
    <row r="246" spans="1:3" x14ac:dyDescent="0.45">
      <c r="A246" s="1">
        <v>42249</v>
      </c>
      <c r="B246" t="s">
        <v>10</v>
      </c>
      <c r="C246" t="s">
        <v>9</v>
      </c>
    </row>
    <row r="247" spans="1:3" x14ac:dyDescent="0.45">
      <c r="A247" s="1">
        <v>42250</v>
      </c>
      <c r="B247" t="s">
        <v>10</v>
      </c>
      <c r="C247" t="s">
        <v>9</v>
      </c>
    </row>
    <row r="248" spans="1:3" x14ac:dyDescent="0.45">
      <c r="A248" s="1">
        <v>42251</v>
      </c>
      <c r="B248" t="s">
        <v>10</v>
      </c>
      <c r="C248" t="s">
        <v>9</v>
      </c>
    </row>
    <row r="249" spans="1:3" x14ac:dyDescent="0.45">
      <c r="A249" s="1">
        <v>42252</v>
      </c>
      <c r="B249" t="s">
        <v>10</v>
      </c>
      <c r="C249" t="s">
        <v>9</v>
      </c>
    </row>
    <row r="250" spans="1:3" x14ac:dyDescent="0.45">
      <c r="A250" s="1">
        <v>42253</v>
      </c>
      <c r="B250" t="s">
        <v>10</v>
      </c>
      <c r="C250" t="s">
        <v>9</v>
      </c>
    </row>
    <row r="251" spans="1:3" x14ac:dyDescent="0.45">
      <c r="A251" s="1">
        <v>42254</v>
      </c>
      <c r="B251" t="s">
        <v>10</v>
      </c>
      <c r="C251" t="s">
        <v>9</v>
      </c>
    </row>
    <row r="252" spans="1:3" x14ac:dyDescent="0.45">
      <c r="A252" s="1">
        <v>42255</v>
      </c>
      <c r="B252" t="s">
        <v>10</v>
      </c>
      <c r="C252" t="s">
        <v>9</v>
      </c>
    </row>
    <row r="253" spans="1:3" x14ac:dyDescent="0.45">
      <c r="A253" s="1">
        <v>42256</v>
      </c>
      <c r="B253" t="s">
        <v>10</v>
      </c>
      <c r="C253" t="s">
        <v>9</v>
      </c>
    </row>
    <row r="254" spans="1:3" x14ac:dyDescent="0.45">
      <c r="A254" s="1">
        <v>42257</v>
      </c>
      <c r="B254" t="s">
        <v>10</v>
      </c>
      <c r="C254" t="s">
        <v>9</v>
      </c>
    </row>
    <row r="255" spans="1:3" x14ac:dyDescent="0.45">
      <c r="A255" s="1">
        <v>42258</v>
      </c>
      <c r="B255" t="s">
        <v>10</v>
      </c>
      <c r="C255" t="s">
        <v>9</v>
      </c>
    </row>
    <row r="256" spans="1:3" x14ac:dyDescent="0.45">
      <c r="A256" s="1">
        <v>42259</v>
      </c>
      <c r="B256" t="s">
        <v>10</v>
      </c>
      <c r="C256" t="s">
        <v>9</v>
      </c>
    </row>
    <row r="257" spans="1:3" x14ac:dyDescent="0.45">
      <c r="A257" s="1">
        <v>42260</v>
      </c>
      <c r="B257" t="s">
        <v>10</v>
      </c>
      <c r="C257" t="s">
        <v>9</v>
      </c>
    </row>
    <row r="258" spans="1:3" x14ac:dyDescent="0.45">
      <c r="A258" s="1">
        <v>42261</v>
      </c>
      <c r="B258" t="s">
        <v>10</v>
      </c>
      <c r="C258" t="s">
        <v>9</v>
      </c>
    </row>
    <row r="259" spans="1:3" x14ac:dyDescent="0.45">
      <c r="A259" s="1">
        <v>42262</v>
      </c>
      <c r="B259" t="s">
        <v>10</v>
      </c>
      <c r="C259" t="s">
        <v>9</v>
      </c>
    </row>
    <row r="260" spans="1:3" x14ac:dyDescent="0.45">
      <c r="A260" s="1">
        <v>42263</v>
      </c>
      <c r="B260" t="s">
        <v>10</v>
      </c>
      <c r="C260" t="s">
        <v>9</v>
      </c>
    </row>
    <row r="261" spans="1:3" x14ac:dyDescent="0.45">
      <c r="A261" s="1">
        <v>42264</v>
      </c>
      <c r="B261" t="s">
        <v>10</v>
      </c>
      <c r="C261" t="s">
        <v>9</v>
      </c>
    </row>
    <row r="262" spans="1:3" x14ac:dyDescent="0.45">
      <c r="A262" s="1">
        <v>42265</v>
      </c>
      <c r="B262" t="s">
        <v>9</v>
      </c>
      <c r="C262" t="s">
        <v>9</v>
      </c>
    </row>
    <row r="263" spans="1:3" x14ac:dyDescent="0.45">
      <c r="A263" s="1">
        <v>42266</v>
      </c>
      <c r="B263" t="s">
        <v>9</v>
      </c>
      <c r="C263" t="s">
        <v>9</v>
      </c>
    </row>
    <row r="264" spans="1:3" x14ac:dyDescent="0.45">
      <c r="A264" s="1">
        <v>42267</v>
      </c>
      <c r="B264" t="s">
        <v>9</v>
      </c>
      <c r="C264" t="s">
        <v>9</v>
      </c>
    </row>
    <row r="265" spans="1:3" x14ac:dyDescent="0.45">
      <c r="A265" s="1">
        <v>42268</v>
      </c>
      <c r="B265" t="s">
        <v>9</v>
      </c>
      <c r="C265" t="s">
        <v>9</v>
      </c>
    </row>
    <row r="266" spans="1:3" x14ac:dyDescent="0.45">
      <c r="A266" s="1">
        <v>42269</v>
      </c>
      <c r="B266" t="s">
        <v>9</v>
      </c>
      <c r="C266" t="s">
        <v>9</v>
      </c>
    </row>
    <row r="267" spans="1:3" x14ac:dyDescent="0.45">
      <c r="A267" s="1">
        <v>42270</v>
      </c>
      <c r="B267" t="s">
        <v>9</v>
      </c>
      <c r="C267" t="s">
        <v>9</v>
      </c>
    </row>
    <row r="268" spans="1:3" x14ac:dyDescent="0.45">
      <c r="A268" s="1">
        <v>42271</v>
      </c>
      <c r="B268" t="s">
        <v>9</v>
      </c>
      <c r="C268" t="s">
        <v>9</v>
      </c>
    </row>
    <row r="269" spans="1:3" x14ac:dyDescent="0.45">
      <c r="A269" s="1">
        <v>42272</v>
      </c>
      <c r="B269" t="s">
        <v>9</v>
      </c>
      <c r="C269" t="s">
        <v>9</v>
      </c>
    </row>
    <row r="270" spans="1:3" x14ac:dyDescent="0.45">
      <c r="A270" s="1">
        <v>42273</v>
      </c>
      <c r="B270" t="s">
        <v>9</v>
      </c>
      <c r="C270" t="s">
        <v>9</v>
      </c>
    </row>
    <row r="271" spans="1:3" x14ac:dyDescent="0.45">
      <c r="A271" s="1">
        <v>42274</v>
      </c>
      <c r="B271" t="s">
        <v>9</v>
      </c>
      <c r="C271" t="s">
        <v>9</v>
      </c>
    </row>
    <row r="272" spans="1:3" x14ac:dyDescent="0.45">
      <c r="A272" s="1">
        <v>42275</v>
      </c>
      <c r="B272" t="s">
        <v>9</v>
      </c>
      <c r="C272" t="s">
        <v>9</v>
      </c>
    </row>
    <row r="273" spans="1:3" x14ac:dyDescent="0.45">
      <c r="A273" s="1">
        <v>42276</v>
      </c>
      <c r="B273" t="s">
        <v>9</v>
      </c>
      <c r="C273" t="s">
        <v>9</v>
      </c>
    </row>
    <row r="274" spans="1:3" x14ac:dyDescent="0.45">
      <c r="A274" s="1">
        <v>42277</v>
      </c>
      <c r="B274" t="s">
        <v>9</v>
      </c>
      <c r="C274" t="s">
        <v>9</v>
      </c>
    </row>
    <row r="275" spans="1:3" x14ac:dyDescent="0.45">
      <c r="A275" s="1">
        <v>42278</v>
      </c>
      <c r="B275" t="s">
        <v>9</v>
      </c>
      <c r="C275" t="s">
        <v>9</v>
      </c>
    </row>
    <row r="276" spans="1:3" x14ac:dyDescent="0.45">
      <c r="A276" s="1">
        <v>42279</v>
      </c>
      <c r="B276" t="s">
        <v>9</v>
      </c>
      <c r="C276" t="s">
        <v>10</v>
      </c>
    </row>
    <row r="277" spans="1:3" x14ac:dyDescent="0.45">
      <c r="A277" s="1">
        <v>42280</v>
      </c>
      <c r="B277" t="s">
        <v>9</v>
      </c>
      <c r="C277" t="s">
        <v>9</v>
      </c>
    </row>
    <row r="278" spans="1:3" x14ac:dyDescent="0.45">
      <c r="A278" s="1">
        <v>42281</v>
      </c>
      <c r="B278" t="s">
        <v>9</v>
      </c>
      <c r="C278" t="s">
        <v>9</v>
      </c>
    </row>
    <row r="279" spans="1:3" x14ac:dyDescent="0.45">
      <c r="A279" s="1">
        <v>42282</v>
      </c>
      <c r="B279" t="s">
        <v>9</v>
      </c>
      <c r="C279" t="s">
        <v>9</v>
      </c>
    </row>
    <row r="280" spans="1:3" x14ac:dyDescent="0.45">
      <c r="A280" s="1">
        <v>42283</v>
      </c>
      <c r="B280" t="s">
        <v>10</v>
      </c>
      <c r="C280" t="s">
        <v>9</v>
      </c>
    </row>
    <row r="281" spans="1:3" x14ac:dyDescent="0.45">
      <c r="A281" s="1">
        <v>42284</v>
      </c>
      <c r="B281" t="s">
        <v>10</v>
      </c>
      <c r="C281" t="s">
        <v>9</v>
      </c>
    </row>
    <row r="282" spans="1:3" x14ac:dyDescent="0.45">
      <c r="A282" s="1">
        <v>42285</v>
      </c>
      <c r="B282" t="s">
        <v>10</v>
      </c>
      <c r="C282" t="s">
        <v>9</v>
      </c>
    </row>
    <row r="283" spans="1:3" x14ac:dyDescent="0.45">
      <c r="A283" s="1">
        <v>42286</v>
      </c>
      <c r="B283" t="s">
        <v>10</v>
      </c>
      <c r="C283" t="s">
        <v>9</v>
      </c>
    </row>
    <row r="284" spans="1:3" x14ac:dyDescent="0.45">
      <c r="A284" s="1">
        <v>42287</v>
      </c>
      <c r="B284" t="s">
        <v>10</v>
      </c>
      <c r="C284" t="s">
        <v>9</v>
      </c>
    </row>
    <row r="285" spans="1:3" x14ac:dyDescent="0.45">
      <c r="A285" s="1">
        <v>42288</v>
      </c>
      <c r="B285" t="s">
        <v>10</v>
      </c>
      <c r="C285" t="s">
        <v>9</v>
      </c>
    </row>
    <row r="286" spans="1:3" x14ac:dyDescent="0.45">
      <c r="A286" s="1">
        <v>42289</v>
      </c>
      <c r="B286" t="s">
        <v>10</v>
      </c>
      <c r="C286" t="s">
        <v>9</v>
      </c>
    </row>
    <row r="287" spans="1:3" x14ac:dyDescent="0.45">
      <c r="A287" s="1">
        <v>42290</v>
      </c>
      <c r="B287" t="s">
        <v>10</v>
      </c>
      <c r="C287" t="s">
        <v>9</v>
      </c>
    </row>
    <row r="288" spans="1:3" x14ac:dyDescent="0.45">
      <c r="A288" s="1">
        <v>42291</v>
      </c>
      <c r="B288" t="s">
        <v>10</v>
      </c>
      <c r="C288" t="s">
        <v>9</v>
      </c>
    </row>
    <row r="289" spans="1:3" x14ac:dyDescent="0.45">
      <c r="A289" s="1">
        <v>42292</v>
      </c>
      <c r="B289" t="s">
        <v>10</v>
      </c>
      <c r="C289" t="s">
        <v>9</v>
      </c>
    </row>
    <row r="290" spans="1:3" x14ac:dyDescent="0.45">
      <c r="A290" s="1">
        <v>42293</v>
      </c>
      <c r="B290" t="s">
        <v>10</v>
      </c>
      <c r="C290" t="s">
        <v>9</v>
      </c>
    </row>
    <row r="291" spans="1:3" x14ac:dyDescent="0.45">
      <c r="A291" s="1">
        <v>42294</v>
      </c>
      <c r="B291" t="s">
        <v>10</v>
      </c>
      <c r="C291" t="s">
        <v>9</v>
      </c>
    </row>
    <row r="292" spans="1:3" x14ac:dyDescent="0.45">
      <c r="A292" s="1">
        <v>42295</v>
      </c>
      <c r="B292" t="s">
        <v>10</v>
      </c>
      <c r="C292" t="s">
        <v>9</v>
      </c>
    </row>
    <row r="293" spans="1:3" x14ac:dyDescent="0.45">
      <c r="A293" s="1">
        <v>42296</v>
      </c>
      <c r="B293" t="s">
        <v>10</v>
      </c>
      <c r="C293" t="s">
        <v>9</v>
      </c>
    </row>
    <row r="294" spans="1:3" x14ac:dyDescent="0.45">
      <c r="A294" s="1">
        <v>42297</v>
      </c>
      <c r="B294" t="s">
        <v>10</v>
      </c>
      <c r="C294" t="s">
        <v>9</v>
      </c>
    </row>
    <row r="295" spans="1:3" x14ac:dyDescent="0.45">
      <c r="A295" s="1">
        <v>42298</v>
      </c>
      <c r="B295" t="s">
        <v>10</v>
      </c>
      <c r="C295" t="s">
        <v>9</v>
      </c>
    </row>
    <row r="296" spans="1:3" x14ac:dyDescent="0.45">
      <c r="A296" s="1">
        <v>42299</v>
      </c>
      <c r="B296" t="s">
        <v>10</v>
      </c>
      <c r="C296" t="s">
        <v>9</v>
      </c>
    </row>
    <row r="297" spans="1:3" x14ac:dyDescent="0.45">
      <c r="A297" s="1">
        <v>42300</v>
      </c>
      <c r="B297" t="s">
        <v>10</v>
      </c>
      <c r="C297" t="s">
        <v>9</v>
      </c>
    </row>
    <row r="298" spans="1:3" x14ac:dyDescent="0.45">
      <c r="A298" s="1">
        <v>42301</v>
      </c>
      <c r="B298" t="s">
        <v>10</v>
      </c>
      <c r="C298" t="s">
        <v>9</v>
      </c>
    </row>
    <row r="299" spans="1:3" x14ac:dyDescent="0.45">
      <c r="A299" s="1">
        <v>42302</v>
      </c>
      <c r="B299" t="s">
        <v>10</v>
      </c>
      <c r="C299" t="s">
        <v>9</v>
      </c>
    </row>
    <row r="300" spans="1:3" x14ac:dyDescent="0.45">
      <c r="A300" s="1">
        <v>42303</v>
      </c>
      <c r="B300" t="s">
        <v>10</v>
      </c>
      <c r="C300" t="s">
        <v>9</v>
      </c>
    </row>
    <row r="301" spans="1:3" x14ac:dyDescent="0.45">
      <c r="A301" s="1">
        <v>42304</v>
      </c>
      <c r="B301" t="s">
        <v>10</v>
      </c>
      <c r="C301" t="s">
        <v>9</v>
      </c>
    </row>
    <row r="302" spans="1:3" x14ac:dyDescent="0.45">
      <c r="A302" s="1">
        <v>42305</v>
      </c>
      <c r="B302" t="s">
        <v>10</v>
      </c>
      <c r="C302" t="s">
        <v>9</v>
      </c>
    </row>
    <row r="303" spans="1:3" x14ac:dyDescent="0.45">
      <c r="A303" s="1">
        <v>42306</v>
      </c>
      <c r="B303" t="s">
        <v>10</v>
      </c>
      <c r="C303" t="s">
        <v>9</v>
      </c>
    </row>
    <row r="304" spans="1:3" x14ac:dyDescent="0.45">
      <c r="A304" s="1">
        <v>42307</v>
      </c>
      <c r="B304" t="s">
        <v>10</v>
      </c>
      <c r="C304" t="s">
        <v>9</v>
      </c>
    </row>
    <row r="305" spans="1:3" x14ac:dyDescent="0.45">
      <c r="A305" s="1">
        <v>42308</v>
      </c>
      <c r="B305" t="s">
        <v>10</v>
      </c>
      <c r="C305" t="s">
        <v>9</v>
      </c>
    </row>
    <row r="306" spans="1:3" x14ac:dyDescent="0.45">
      <c r="A306" s="1">
        <v>42309</v>
      </c>
      <c r="B306" t="s">
        <v>10</v>
      </c>
      <c r="C306" t="s">
        <v>9</v>
      </c>
    </row>
    <row r="307" spans="1:3" x14ac:dyDescent="0.45">
      <c r="A307" s="1">
        <v>42310</v>
      </c>
      <c r="B307" t="s">
        <v>10</v>
      </c>
      <c r="C307" t="s">
        <v>9</v>
      </c>
    </row>
    <row r="308" spans="1:3" x14ac:dyDescent="0.45">
      <c r="A308" s="1">
        <v>42311</v>
      </c>
      <c r="B308" t="s">
        <v>10</v>
      </c>
      <c r="C308" t="s">
        <v>10</v>
      </c>
    </row>
    <row r="309" spans="1:3" x14ac:dyDescent="0.45">
      <c r="A309" s="1">
        <v>42312</v>
      </c>
      <c r="B309" t="s">
        <v>10</v>
      </c>
      <c r="C309" t="s">
        <v>9</v>
      </c>
    </row>
    <row r="310" spans="1:3" x14ac:dyDescent="0.45">
      <c r="A310" s="1">
        <v>42313</v>
      </c>
      <c r="B310" t="s">
        <v>10</v>
      </c>
      <c r="C310" t="s">
        <v>9</v>
      </c>
    </row>
    <row r="311" spans="1:3" x14ac:dyDescent="0.45">
      <c r="A311" s="1">
        <v>42314</v>
      </c>
      <c r="B311" t="s">
        <v>10</v>
      </c>
      <c r="C311" t="s">
        <v>9</v>
      </c>
    </row>
    <row r="312" spans="1:3" x14ac:dyDescent="0.45">
      <c r="A312" s="1">
        <v>42315</v>
      </c>
      <c r="B312" t="s">
        <v>10</v>
      </c>
      <c r="C312" t="s">
        <v>9</v>
      </c>
    </row>
    <row r="313" spans="1:3" x14ac:dyDescent="0.45">
      <c r="A313" s="1">
        <v>42316</v>
      </c>
      <c r="B313" t="s">
        <v>10</v>
      </c>
      <c r="C313" t="s">
        <v>9</v>
      </c>
    </row>
    <row r="314" spans="1:3" x14ac:dyDescent="0.45">
      <c r="A314" s="1">
        <v>42317</v>
      </c>
      <c r="B314" t="s">
        <v>10</v>
      </c>
      <c r="C314" t="s">
        <v>9</v>
      </c>
    </row>
    <row r="315" spans="1:3" x14ac:dyDescent="0.45">
      <c r="A315" s="1">
        <v>42318</v>
      </c>
      <c r="B315" t="s">
        <v>10</v>
      </c>
      <c r="C315" t="s">
        <v>9</v>
      </c>
    </row>
    <row r="316" spans="1:3" x14ac:dyDescent="0.45">
      <c r="A316" s="1">
        <v>42319</v>
      </c>
      <c r="B316" t="s">
        <v>10</v>
      </c>
      <c r="C316" t="s">
        <v>9</v>
      </c>
    </row>
    <row r="317" spans="1:3" x14ac:dyDescent="0.45">
      <c r="A317" s="1">
        <v>42320</v>
      </c>
      <c r="B317" t="s">
        <v>10</v>
      </c>
      <c r="C317" t="s">
        <v>9</v>
      </c>
    </row>
    <row r="318" spans="1:3" x14ac:dyDescent="0.45">
      <c r="A318" s="1">
        <v>42321</v>
      </c>
      <c r="B318" t="s">
        <v>10</v>
      </c>
      <c r="C318" t="s">
        <v>9</v>
      </c>
    </row>
    <row r="319" spans="1:3" x14ac:dyDescent="0.45">
      <c r="A319" s="1">
        <v>42322</v>
      </c>
      <c r="B319" t="s">
        <v>10</v>
      </c>
      <c r="C319" t="s">
        <v>9</v>
      </c>
    </row>
    <row r="320" spans="1:3" x14ac:dyDescent="0.45">
      <c r="A320" s="1">
        <v>42323</v>
      </c>
      <c r="B320" t="s">
        <v>10</v>
      </c>
      <c r="C320" t="s">
        <v>9</v>
      </c>
    </row>
    <row r="321" spans="1:3" x14ac:dyDescent="0.45">
      <c r="A321" s="1">
        <v>42324</v>
      </c>
      <c r="B321" t="s">
        <v>10</v>
      </c>
      <c r="C321" t="s">
        <v>9</v>
      </c>
    </row>
    <row r="322" spans="1:3" x14ac:dyDescent="0.45">
      <c r="A322" s="1">
        <v>42325</v>
      </c>
      <c r="B322" t="s">
        <v>10</v>
      </c>
      <c r="C322" t="s">
        <v>9</v>
      </c>
    </row>
    <row r="323" spans="1:3" x14ac:dyDescent="0.45">
      <c r="A323" s="1">
        <v>42326</v>
      </c>
      <c r="B323" t="s">
        <v>10</v>
      </c>
      <c r="C323" t="s">
        <v>9</v>
      </c>
    </row>
    <row r="324" spans="1:3" x14ac:dyDescent="0.45">
      <c r="A324" s="1">
        <v>42327</v>
      </c>
      <c r="B324" t="s">
        <v>10</v>
      </c>
      <c r="C324" t="s">
        <v>9</v>
      </c>
    </row>
    <row r="325" spans="1:3" x14ac:dyDescent="0.45">
      <c r="A325" s="1">
        <v>42328</v>
      </c>
      <c r="B325" t="s">
        <v>10</v>
      </c>
      <c r="C325" t="s">
        <v>9</v>
      </c>
    </row>
    <row r="326" spans="1:3" x14ac:dyDescent="0.45">
      <c r="A326" s="1">
        <v>42329</v>
      </c>
      <c r="B326" t="s">
        <v>10</v>
      </c>
      <c r="C326" t="s">
        <v>9</v>
      </c>
    </row>
    <row r="327" spans="1:3" x14ac:dyDescent="0.45">
      <c r="A327" s="1">
        <v>42330</v>
      </c>
      <c r="B327" t="s">
        <v>10</v>
      </c>
      <c r="C327" t="s">
        <v>9</v>
      </c>
    </row>
    <row r="328" spans="1:3" x14ac:dyDescent="0.45">
      <c r="A328" s="1">
        <v>42331</v>
      </c>
      <c r="B328" t="s">
        <v>10</v>
      </c>
      <c r="C328" t="s">
        <v>9</v>
      </c>
    </row>
    <row r="329" spans="1:3" x14ac:dyDescent="0.45">
      <c r="A329" s="1">
        <v>42332</v>
      </c>
      <c r="B329" t="s">
        <v>10</v>
      </c>
      <c r="C329" t="s">
        <v>9</v>
      </c>
    </row>
    <row r="330" spans="1:3" x14ac:dyDescent="0.45">
      <c r="A330" s="1">
        <v>42333</v>
      </c>
      <c r="B330" t="s">
        <v>10</v>
      </c>
      <c r="C330" t="s">
        <v>9</v>
      </c>
    </row>
    <row r="331" spans="1:3" x14ac:dyDescent="0.45">
      <c r="A331" s="1">
        <v>42334</v>
      </c>
      <c r="B331" t="s">
        <v>10</v>
      </c>
      <c r="C331" t="s">
        <v>9</v>
      </c>
    </row>
    <row r="332" spans="1:3" x14ac:dyDescent="0.45">
      <c r="A332" s="1">
        <v>42335</v>
      </c>
      <c r="B332" t="s">
        <v>10</v>
      </c>
      <c r="C332" t="s">
        <v>9</v>
      </c>
    </row>
    <row r="333" spans="1:3" x14ac:dyDescent="0.45">
      <c r="A333" s="1">
        <v>42336</v>
      </c>
      <c r="B333" t="s">
        <v>10</v>
      </c>
      <c r="C333" t="s">
        <v>9</v>
      </c>
    </row>
    <row r="334" spans="1:3" x14ac:dyDescent="0.45">
      <c r="A334" s="1">
        <v>42337</v>
      </c>
      <c r="B334" t="s">
        <v>10</v>
      </c>
      <c r="C334" t="s">
        <v>9</v>
      </c>
    </row>
    <row r="335" spans="1:3" x14ac:dyDescent="0.45">
      <c r="A335" s="1">
        <v>42338</v>
      </c>
      <c r="B335" t="s">
        <v>10</v>
      </c>
      <c r="C335" t="s">
        <v>9</v>
      </c>
    </row>
    <row r="336" spans="1:3" x14ac:dyDescent="0.45">
      <c r="A336" s="1">
        <v>42339</v>
      </c>
      <c r="B336" t="s">
        <v>10</v>
      </c>
      <c r="C336" t="s">
        <v>9</v>
      </c>
    </row>
    <row r="337" spans="1:3" x14ac:dyDescent="0.45">
      <c r="A337" s="1">
        <v>42340</v>
      </c>
      <c r="B337" t="s">
        <v>10</v>
      </c>
      <c r="C337" t="s">
        <v>9</v>
      </c>
    </row>
    <row r="338" spans="1:3" x14ac:dyDescent="0.45">
      <c r="A338" s="1">
        <v>42341</v>
      </c>
      <c r="B338" t="s">
        <v>10</v>
      </c>
      <c r="C338" t="s">
        <v>9</v>
      </c>
    </row>
    <row r="339" spans="1:3" x14ac:dyDescent="0.45">
      <c r="A339" s="1">
        <v>42342</v>
      </c>
      <c r="B339" t="s">
        <v>10</v>
      </c>
      <c r="C339" t="s">
        <v>9</v>
      </c>
    </row>
    <row r="340" spans="1:3" x14ac:dyDescent="0.45">
      <c r="A340" s="1">
        <v>42343</v>
      </c>
      <c r="B340" t="s">
        <v>10</v>
      </c>
      <c r="C340" t="s">
        <v>9</v>
      </c>
    </row>
    <row r="341" spans="1:3" x14ac:dyDescent="0.45">
      <c r="A341" s="1">
        <v>42344</v>
      </c>
      <c r="B341" t="s">
        <v>10</v>
      </c>
      <c r="C341" t="s">
        <v>9</v>
      </c>
    </row>
    <row r="342" spans="1:3" x14ac:dyDescent="0.45">
      <c r="A342" s="1">
        <v>42345</v>
      </c>
      <c r="B342" t="s">
        <v>10</v>
      </c>
      <c r="C342" t="s">
        <v>9</v>
      </c>
    </row>
    <row r="343" spans="1:3" x14ac:dyDescent="0.45">
      <c r="A343" s="1">
        <v>42346</v>
      </c>
      <c r="B343" t="s">
        <v>10</v>
      </c>
      <c r="C343" t="s">
        <v>9</v>
      </c>
    </row>
    <row r="344" spans="1:3" x14ac:dyDescent="0.45">
      <c r="A344" s="1">
        <v>42347</v>
      </c>
      <c r="B344" t="s">
        <v>10</v>
      </c>
      <c r="C344" t="s">
        <v>9</v>
      </c>
    </row>
    <row r="345" spans="1:3" x14ac:dyDescent="0.45">
      <c r="A345" s="1">
        <v>42348</v>
      </c>
      <c r="B345" t="s">
        <v>10</v>
      </c>
      <c r="C345" t="s">
        <v>9</v>
      </c>
    </row>
    <row r="346" spans="1:3" x14ac:dyDescent="0.45">
      <c r="A346" s="1">
        <v>42349</v>
      </c>
      <c r="B346" t="s">
        <v>10</v>
      </c>
      <c r="C346" t="s">
        <v>9</v>
      </c>
    </row>
    <row r="347" spans="1:3" x14ac:dyDescent="0.45">
      <c r="A347" s="1">
        <v>42350</v>
      </c>
      <c r="B347" t="s">
        <v>10</v>
      </c>
      <c r="C347" t="s">
        <v>9</v>
      </c>
    </row>
    <row r="348" spans="1:3" x14ac:dyDescent="0.45">
      <c r="A348" s="1">
        <v>42351</v>
      </c>
      <c r="B348" t="s">
        <v>10</v>
      </c>
      <c r="C348" t="s">
        <v>9</v>
      </c>
    </row>
    <row r="349" spans="1:3" x14ac:dyDescent="0.45">
      <c r="A349" s="1">
        <v>42352</v>
      </c>
      <c r="B349" t="s">
        <v>10</v>
      </c>
      <c r="C349" t="s">
        <v>9</v>
      </c>
    </row>
    <row r="350" spans="1:3" x14ac:dyDescent="0.45">
      <c r="A350" s="1">
        <v>42353</v>
      </c>
      <c r="B350" t="s">
        <v>10</v>
      </c>
      <c r="C350" t="s">
        <v>9</v>
      </c>
    </row>
    <row r="351" spans="1:3" x14ac:dyDescent="0.45">
      <c r="A351" s="1">
        <v>42354</v>
      </c>
      <c r="B351" t="s">
        <v>10</v>
      </c>
      <c r="C351" t="s">
        <v>9</v>
      </c>
    </row>
    <row r="352" spans="1:3" x14ac:dyDescent="0.45">
      <c r="A352" s="1">
        <v>42355</v>
      </c>
      <c r="B352" t="s">
        <v>10</v>
      </c>
      <c r="C352" t="s">
        <v>9</v>
      </c>
    </row>
    <row r="353" spans="1:3" x14ac:dyDescent="0.45">
      <c r="A353" s="1">
        <v>42356</v>
      </c>
      <c r="B353" t="s">
        <v>9</v>
      </c>
      <c r="C353" t="s">
        <v>9</v>
      </c>
    </row>
    <row r="354" spans="1:3" x14ac:dyDescent="0.45">
      <c r="A354" s="1">
        <v>42357</v>
      </c>
      <c r="B354" t="s">
        <v>9</v>
      </c>
      <c r="C354" t="s">
        <v>9</v>
      </c>
    </row>
    <row r="355" spans="1:3" x14ac:dyDescent="0.45">
      <c r="A355" s="1">
        <v>42358</v>
      </c>
      <c r="B355" t="s">
        <v>9</v>
      </c>
      <c r="C355" t="s">
        <v>9</v>
      </c>
    </row>
    <row r="356" spans="1:3" x14ac:dyDescent="0.45">
      <c r="A356" s="1">
        <v>42359</v>
      </c>
      <c r="B356" t="s">
        <v>9</v>
      </c>
      <c r="C356" t="s">
        <v>9</v>
      </c>
    </row>
    <row r="357" spans="1:3" x14ac:dyDescent="0.45">
      <c r="A357" s="1">
        <v>42360</v>
      </c>
      <c r="B357" t="s">
        <v>9</v>
      </c>
      <c r="C357" t="s">
        <v>9</v>
      </c>
    </row>
    <row r="358" spans="1:3" x14ac:dyDescent="0.45">
      <c r="A358" s="1">
        <v>42361</v>
      </c>
      <c r="B358" t="s">
        <v>9</v>
      </c>
      <c r="C358" t="s">
        <v>9</v>
      </c>
    </row>
    <row r="359" spans="1:3" x14ac:dyDescent="0.45">
      <c r="A359" s="1">
        <v>42362</v>
      </c>
      <c r="B359" t="s">
        <v>9</v>
      </c>
      <c r="C359" t="s">
        <v>9</v>
      </c>
    </row>
    <row r="360" spans="1:3" x14ac:dyDescent="0.45">
      <c r="A360" s="1">
        <v>42363</v>
      </c>
      <c r="B360" t="s">
        <v>9</v>
      </c>
      <c r="C360" t="s">
        <v>10</v>
      </c>
    </row>
    <row r="361" spans="1:3" x14ac:dyDescent="0.45">
      <c r="A361" s="1">
        <v>42364</v>
      </c>
      <c r="B361" t="s">
        <v>9</v>
      </c>
      <c r="C361" t="s">
        <v>10</v>
      </c>
    </row>
    <row r="362" spans="1:3" x14ac:dyDescent="0.45">
      <c r="A362" s="1">
        <v>42365</v>
      </c>
      <c r="B362" t="s">
        <v>9</v>
      </c>
      <c r="C362" t="s">
        <v>9</v>
      </c>
    </row>
    <row r="363" spans="1:3" x14ac:dyDescent="0.45">
      <c r="A363" s="1">
        <v>42366</v>
      </c>
      <c r="B363" t="s">
        <v>9</v>
      </c>
      <c r="C363" t="s">
        <v>10</v>
      </c>
    </row>
    <row r="364" spans="1:3" x14ac:dyDescent="0.45">
      <c r="A364" s="1">
        <v>42367</v>
      </c>
      <c r="B364" t="s">
        <v>9</v>
      </c>
      <c r="C364" t="s">
        <v>9</v>
      </c>
    </row>
    <row r="365" spans="1:3" x14ac:dyDescent="0.45">
      <c r="A365" s="1">
        <v>42368</v>
      </c>
      <c r="B365" t="s">
        <v>9</v>
      </c>
      <c r="C365" t="s">
        <v>9</v>
      </c>
    </row>
    <row r="366" spans="1:3" x14ac:dyDescent="0.45">
      <c r="A366" s="1">
        <v>42369</v>
      </c>
      <c r="B366" t="s">
        <v>9</v>
      </c>
      <c r="C366" t="s">
        <v>9</v>
      </c>
    </row>
    <row r="367" spans="1:3" x14ac:dyDescent="0.45">
      <c r="A367" s="1">
        <v>42370</v>
      </c>
      <c r="B367" t="s">
        <v>9</v>
      </c>
      <c r="C367" t="s">
        <v>10</v>
      </c>
    </row>
    <row r="368" spans="1:3" x14ac:dyDescent="0.45">
      <c r="A368" s="1">
        <v>42371</v>
      </c>
      <c r="B368" t="s">
        <v>9</v>
      </c>
      <c r="C368" t="s">
        <v>9</v>
      </c>
    </row>
    <row r="369" spans="1:3" x14ac:dyDescent="0.45">
      <c r="A369" s="1">
        <v>42372</v>
      </c>
      <c r="B369" t="s">
        <v>9</v>
      </c>
      <c r="C369" t="s">
        <v>9</v>
      </c>
    </row>
    <row r="370" spans="1:3" x14ac:dyDescent="0.45">
      <c r="A370" s="1">
        <v>42373</v>
      </c>
      <c r="B370" t="s">
        <v>9</v>
      </c>
      <c r="C370" t="s">
        <v>9</v>
      </c>
    </row>
    <row r="371" spans="1:3" x14ac:dyDescent="0.45">
      <c r="A371" s="1">
        <v>42374</v>
      </c>
      <c r="B371" t="s">
        <v>9</v>
      </c>
      <c r="C371" t="s">
        <v>9</v>
      </c>
    </row>
    <row r="372" spans="1:3" x14ac:dyDescent="0.45">
      <c r="A372" s="1">
        <v>42375</v>
      </c>
      <c r="B372" t="s">
        <v>9</v>
      </c>
      <c r="C372" t="s">
        <v>9</v>
      </c>
    </row>
    <row r="373" spans="1:3" x14ac:dyDescent="0.45">
      <c r="A373" s="1">
        <v>42376</v>
      </c>
      <c r="B373" t="s">
        <v>9</v>
      </c>
      <c r="C373" t="s">
        <v>9</v>
      </c>
    </row>
    <row r="374" spans="1:3" x14ac:dyDescent="0.45">
      <c r="A374" s="1">
        <v>42377</v>
      </c>
      <c r="B374" t="s">
        <v>9</v>
      </c>
      <c r="C374" t="s">
        <v>9</v>
      </c>
    </row>
    <row r="375" spans="1:3" x14ac:dyDescent="0.45">
      <c r="A375" s="1">
        <v>42378</v>
      </c>
      <c r="B375" t="s">
        <v>9</v>
      </c>
      <c r="C375" t="s">
        <v>9</v>
      </c>
    </row>
    <row r="376" spans="1:3" x14ac:dyDescent="0.45">
      <c r="A376" s="1">
        <v>42379</v>
      </c>
      <c r="B376" t="s">
        <v>9</v>
      </c>
      <c r="C376" t="s">
        <v>9</v>
      </c>
    </row>
    <row r="377" spans="1:3" x14ac:dyDescent="0.45">
      <c r="A377" s="1">
        <v>42380</v>
      </c>
      <c r="B377" t="s">
        <v>9</v>
      </c>
      <c r="C377" t="s">
        <v>9</v>
      </c>
    </row>
    <row r="378" spans="1:3" x14ac:dyDescent="0.45">
      <c r="A378" s="1">
        <v>42381</v>
      </c>
      <c r="B378" t="s">
        <v>9</v>
      </c>
      <c r="C378" t="s">
        <v>9</v>
      </c>
    </row>
    <row r="379" spans="1:3" x14ac:dyDescent="0.45">
      <c r="A379" s="1">
        <v>42382</v>
      </c>
      <c r="B379" t="s">
        <v>9</v>
      </c>
      <c r="C379" t="s">
        <v>9</v>
      </c>
    </row>
    <row r="380" spans="1:3" x14ac:dyDescent="0.45">
      <c r="A380" s="1">
        <v>42383</v>
      </c>
      <c r="B380" t="s">
        <v>9</v>
      </c>
      <c r="C380" t="s">
        <v>9</v>
      </c>
    </row>
    <row r="381" spans="1:3" x14ac:dyDescent="0.45">
      <c r="A381" s="1">
        <v>42384</v>
      </c>
      <c r="B381" t="s">
        <v>9</v>
      </c>
      <c r="C381" t="s">
        <v>9</v>
      </c>
    </row>
    <row r="382" spans="1:3" x14ac:dyDescent="0.45">
      <c r="A382" s="1">
        <v>42385</v>
      </c>
      <c r="B382" t="s">
        <v>9</v>
      </c>
      <c r="C382" t="s">
        <v>9</v>
      </c>
    </row>
    <row r="383" spans="1:3" x14ac:dyDescent="0.45">
      <c r="A383" s="1">
        <v>42386</v>
      </c>
      <c r="B383" t="s">
        <v>9</v>
      </c>
      <c r="C383" t="s">
        <v>9</v>
      </c>
    </row>
    <row r="384" spans="1:3" x14ac:dyDescent="0.45">
      <c r="A384" s="1">
        <v>42387</v>
      </c>
      <c r="B384" t="s">
        <v>9</v>
      </c>
      <c r="C384" t="s">
        <v>9</v>
      </c>
    </row>
    <row r="385" spans="1:3" x14ac:dyDescent="0.45">
      <c r="A385" s="1">
        <v>42388</v>
      </c>
      <c r="B385" t="s">
        <v>9</v>
      </c>
      <c r="C385" t="s">
        <v>9</v>
      </c>
    </row>
    <row r="386" spans="1:3" x14ac:dyDescent="0.45">
      <c r="A386" s="1">
        <v>42389</v>
      </c>
      <c r="B386" t="s">
        <v>9</v>
      </c>
      <c r="C386" t="s">
        <v>9</v>
      </c>
    </row>
    <row r="387" spans="1:3" x14ac:dyDescent="0.45">
      <c r="A387" s="1">
        <v>42390</v>
      </c>
      <c r="B387" t="s">
        <v>9</v>
      </c>
      <c r="C387" t="s">
        <v>9</v>
      </c>
    </row>
    <row r="388" spans="1:3" x14ac:dyDescent="0.45">
      <c r="A388" s="1">
        <v>42391</v>
      </c>
      <c r="B388" t="s">
        <v>9</v>
      </c>
      <c r="C388" t="s">
        <v>9</v>
      </c>
    </row>
    <row r="389" spans="1:3" x14ac:dyDescent="0.45">
      <c r="A389" s="1">
        <v>42392</v>
      </c>
      <c r="B389" t="s">
        <v>9</v>
      </c>
      <c r="C389" t="s">
        <v>9</v>
      </c>
    </row>
    <row r="390" spans="1:3" x14ac:dyDescent="0.45">
      <c r="A390" s="1">
        <v>42393</v>
      </c>
      <c r="B390" t="s">
        <v>9</v>
      </c>
      <c r="C390" t="s">
        <v>9</v>
      </c>
    </row>
    <row r="391" spans="1:3" x14ac:dyDescent="0.45">
      <c r="A391" s="1">
        <v>42394</v>
      </c>
      <c r="B391" t="s">
        <v>9</v>
      </c>
      <c r="C391" t="s">
        <v>9</v>
      </c>
    </row>
    <row r="392" spans="1:3" x14ac:dyDescent="0.45">
      <c r="A392" s="1">
        <v>42395</v>
      </c>
      <c r="B392" t="s">
        <v>9</v>
      </c>
      <c r="C392" t="s">
        <v>10</v>
      </c>
    </row>
    <row r="393" spans="1:3" x14ac:dyDescent="0.45">
      <c r="A393" s="1">
        <v>42396</v>
      </c>
      <c r="B393" t="s">
        <v>9</v>
      </c>
      <c r="C393" t="s">
        <v>9</v>
      </c>
    </row>
    <row r="394" spans="1:3" x14ac:dyDescent="0.45">
      <c r="A394" s="1">
        <v>42397</v>
      </c>
      <c r="B394" t="s">
        <v>10</v>
      </c>
      <c r="C394" t="s">
        <v>9</v>
      </c>
    </row>
    <row r="395" spans="1:3" x14ac:dyDescent="0.45">
      <c r="A395" s="1">
        <v>42398</v>
      </c>
      <c r="B395" t="s">
        <v>10</v>
      </c>
      <c r="C395" t="s">
        <v>9</v>
      </c>
    </row>
    <row r="396" spans="1:3" x14ac:dyDescent="0.45">
      <c r="A396" s="1">
        <v>42399</v>
      </c>
      <c r="B396" t="s">
        <v>10</v>
      </c>
      <c r="C396" t="s">
        <v>9</v>
      </c>
    </row>
    <row r="397" spans="1:3" x14ac:dyDescent="0.45">
      <c r="A397" s="1">
        <v>42400</v>
      </c>
      <c r="B397" t="s">
        <v>10</v>
      </c>
      <c r="C397" t="s">
        <v>9</v>
      </c>
    </row>
    <row r="398" spans="1:3" x14ac:dyDescent="0.45">
      <c r="A398" s="1">
        <v>42401</v>
      </c>
      <c r="B398" t="s">
        <v>10</v>
      </c>
      <c r="C398" t="s">
        <v>9</v>
      </c>
    </row>
    <row r="399" spans="1:3" x14ac:dyDescent="0.45">
      <c r="A399" s="1">
        <v>42402</v>
      </c>
      <c r="B399" t="s">
        <v>10</v>
      </c>
      <c r="C399" t="s">
        <v>9</v>
      </c>
    </row>
    <row r="400" spans="1:3" x14ac:dyDescent="0.45">
      <c r="A400" s="1">
        <v>42403</v>
      </c>
      <c r="B400" t="s">
        <v>10</v>
      </c>
      <c r="C400" t="s">
        <v>9</v>
      </c>
    </row>
    <row r="401" spans="1:3" x14ac:dyDescent="0.45">
      <c r="A401" s="1">
        <v>42404</v>
      </c>
      <c r="B401" t="s">
        <v>10</v>
      </c>
      <c r="C401" t="s">
        <v>9</v>
      </c>
    </row>
    <row r="402" spans="1:3" x14ac:dyDescent="0.45">
      <c r="A402" s="1">
        <v>42405</v>
      </c>
      <c r="B402" t="s">
        <v>10</v>
      </c>
      <c r="C402" t="s">
        <v>9</v>
      </c>
    </row>
    <row r="403" spans="1:3" x14ac:dyDescent="0.45">
      <c r="A403" s="1">
        <v>42406</v>
      </c>
      <c r="B403" t="s">
        <v>10</v>
      </c>
      <c r="C403" t="s">
        <v>9</v>
      </c>
    </row>
    <row r="404" spans="1:3" x14ac:dyDescent="0.45">
      <c r="A404" s="1">
        <v>42407</v>
      </c>
      <c r="B404" t="s">
        <v>10</v>
      </c>
      <c r="C404" t="s">
        <v>9</v>
      </c>
    </row>
    <row r="405" spans="1:3" x14ac:dyDescent="0.45">
      <c r="A405" s="1">
        <v>42408</v>
      </c>
      <c r="B405" t="s">
        <v>10</v>
      </c>
      <c r="C405" t="s">
        <v>9</v>
      </c>
    </row>
    <row r="406" spans="1:3" x14ac:dyDescent="0.45">
      <c r="A406" s="1">
        <v>42409</v>
      </c>
      <c r="B406" t="s">
        <v>10</v>
      </c>
      <c r="C406" t="s">
        <v>9</v>
      </c>
    </row>
    <row r="407" spans="1:3" x14ac:dyDescent="0.45">
      <c r="A407" s="1">
        <v>42410</v>
      </c>
      <c r="B407" t="s">
        <v>10</v>
      </c>
      <c r="C407" t="s">
        <v>9</v>
      </c>
    </row>
    <row r="408" spans="1:3" x14ac:dyDescent="0.45">
      <c r="A408" s="1">
        <v>42411</v>
      </c>
      <c r="B408" t="s">
        <v>10</v>
      </c>
      <c r="C408" t="s">
        <v>9</v>
      </c>
    </row>
    <row r="409" spans="1:3" x14ac:dyDescent="0.45">
      <c r="A409" s="1">
        <v>42412</v>
      </c>
      <c r="B409" t="s">
        <v>10</v>
      </c>
      <c r="C409" t="s">
        <v>9</v>
      </c>
    </row>
    <row r="410" spans="1:3" x14ac:dyDescent="0.45">
      <c r="A410" s="1">
        <v>42413</v>
      </c>
      <c r="B410" t="s">
        <v>10</v>
      </c>
      <c r="C410" t="s">
        <v>9</v>
      </c>
    </row>
    <row r="411" spans="1:3" x14ac:dyDescent="0.45">
      <c r="A411" s="1">
        <v>42414</v>
      </c>
      <c r="B411" t="s">
        <v>10</v>
      </c>
      <c r="C411" t="s">
        <v>9</v>
      </c>
    </row>
    <row r="412" spans="1:3" x14ac:dyDescent="0.45">
      <c r="A412" s="1">
        <v>42415</v>
      </c>
      <c r="B412" t="s">
        <v>10</v>
      </c>
      <c r="C412" t="s">
        <v>9</v>
      </c>
    </row>
    <row r="413" spans="1:3" x14ac:dyDescent="0.45">
      <c r="A413" s="1">
        <v>42416</v>
      </c>
      <c r="B413" t="s">
        <v>10</v>
      </c>
      <c r="C413" t="s">
        <v>9</v>
      </c>
    </row>
    <row r="414" spans="1:3" x14ac:dyDescent="0.45">
      <c r="A414" s="1">
        <v>42417</v>
      </c>
      <c r="B414" t="s">
        <v>10</v>
      </c>
      <c r="C414" t="s">
        <v>9</v>
      </c>
    </row>
    <row r="415" spans="1:3" x14ac:dyDescent="0.45">
      <c r="A415" s="1">
        <v>42418</v>
      </c>
      <c r="B415" t="s">
        <v>10</v>
      </c>
      <c r="C415" t="s">
        <v>9</v>
      </c>
    </row>
    <row r="416" spans="1:3" x14ac:dyDescent="0.45">
      <c r="A416" s="1">
        <v>42419</v>
      </c>
      <c r="B416" t="s">
        <v>10</v>
      </c>
      <c r="C416" t="s">
        <v>9</v>
      </c>
    </row>
    <row r="417" spans="1:3" x14ac:dyDescent="0.45">
      <c r="A417" s="1">
        <v>42420</v>
      </c>
      <c r="B417" t="s">
        <v>10</v>
      </c>
      <c r="C417" t="s">
        <v>9</v>
      </c>
    </row>
    <row r="418" spans="1:3" x14ac:dyDescent="0.45">
      <c r="A418" s="1">
        <v>42421</v>
      </c>
      <c r="B418" t="s">
        <v>10</v>
      </c>
      <c r="C418" t="s">
        <v>9</v>
      </c>
    </row>
    <row r="419" spans="1:3" x14ac:dyDescent="0.45">
      <c r="A419" s="1">
        <v>42422</v>
      </c>
      <c r="B419" t="s">
        <v>10</v>
      </c>
      <c r="C419" t="s">
        <v>9</v>
      </c>
    </row>
    <row r="420" spans="1:3" x14ac:dyDescent="0.45">
      <c r="A420" s="1">
        <v>42423</v>
      </c>
      <c r="B420" t="s">
        <v>10</v>
      </c>
      <c r="C420" t="s">
        <v>9</v>
      </c>
    </row>
    <row r="421" spans="1:3" x14ac:dyDescent="0.45">
      <c r="A421" s="1">
        <v>42424</v>
      </c>
      <c r="B421" t="s">
        <v>10</v>
      </c>
      <c r="C421" t="s">
        <v>9</v>
      </c>
    </row>
    <row r="422" spans="1:3" x14ac:dyDescent="0.45">
      <c r="A422" s="1">
        <v>42425</v>
      </c>
      <c r="B422" t="s">
        <v>10</v>
      </c>
      <c r="C422" t="s">
        <v>9</v>
      </c>
    </row>
    <row r="423" spans="1:3" x14ac:dyDescent="0.45">
      <c r="A423" s="1">
        <v>42426</v>
      </c>
      <c r="B423" t="s">
        <v>10</v>
      </c>
      <c r="C423" t="s">
        <v>9</v>
      </c>
    </row>
    <row r="424" spans="1:3" x14ac:dyDescent="0.45">
      <c r="A424" s="1">
        <v>42427</v>
      </c>
      <c r="B424" t="s">
        <v>10</v>
      </c>
      <c r="C424" t="s">
        <v>9</v>
      </c>
    </row>
    <row r="425" spans="1:3" x14ac:dyDescent="0.45">
      <c r="A425" s="1">
        <v>42428</v>
      </c>
      <c r="B425" t="s">
        <v>10</v>
      </c>
      <c r="C425" t="s">
        <v>9</v>
      </c>
    </row>
    <row r="426" spans="1:3" x14ac:dyDescent="0.45">
      <c r="A426" s="1">
        <v>42429</v>
      </c>
      <c r="B426" t="s">
        <v>10</v>
      </c>
      <c r="C426" t="s">
        <v>9</v>
      </c>
    </row>
    <row r="427" spans="1:3" x14ac:dyDescent="0.45">
      <c r="A427" s="1">
        <v>42430</v>
      </c>
      <c r="B427" t="s">
        <v>10</v>
      </c>
      <c r="C427" t="s">
        <v>9</v>
      </c>
    </row>
    <row r="428" spans="1:3" x14ac:dyDescent="0.45">
      <c r="A428" s="1">
        <v>42431</v>
      </c>
      <c r="B428" t="s">
        <v>10</v>
      </c>
      <c r="C428" t="s">
        <v>9</v>
      </c>
    </row>
    <row r="429" spans="1:3" x14ac:dyDescent="0.45">
      <c r="A429" s="1">
        <v>42432</v>
      </c>
      <c r="B429" t="s">
        <v>10</v>
      </c>
      <c r="C429" t="s">
        <v>9</v>
      </c>
    </row>
    <row r="430" spans="1:3" x14ac:dyDescent="0.45">
      <c r="A430" s="1">
        <v>42433</v>
      </c>
      <c r="B430" t="s">
        <v>10</v>
      </c>
      <c r="C430" t="s">
        <v>9</v>
      </c>
    </row>
    <row r="431" spans="1:3" x14ac:dyDescent="0.45">
      <c r="A431" s="1">
        <v>42434</v>
      </c>
      <c r="B431" t="s">
        <v>10</v>
      </c>
      <c r="C431" t="s">
        <v>9</v>
      </c>
    </row>
    <row r="432" spans="1:3" x14ac:dyDescent="0.45">
      <c r="A432" s="1">
        <v>42435</v>
      </c>
      <c r="B432" t="s">
        <v>10</v>
      </c>
      <c r="C432" t="s">
        <v>9</v>
      </c>
    </row>
    <row r="433" spans="1:3" x14ac:dyDescent="0.45">
      <c r="A433" s="1">
        <v>42436</v>
      </c>
      <c r="B433" t="s">
        <v>10</v>
      </c>
      <c r="C433" t="s">
        <v>9</v>
      </c>
    </row>
    <row r="434" spans="1:3" x14ac:dyDescent="0.45">
      <c r="A434" s="1">
        <v>42437</v>
      </c>
      <c r="B434" t="s">
        <v>10</v>
      </c>
      <c r="C434" t="s">
        <v>9</v>
      </c>
    </row>
    <row r="435" spans="1:3" x14ac:dyDescent="0.45">
      <c r="A435" s="1">
        <v>42438</v>
      </c>
      <c r="B435" t="s">
        <v>10</v>
      </c>
      <c r="C435" t="s">
        <v>9</v>
      </c>
    </row>
    <row r="436" spans="1:3" x14ac:dyDescent="0.45">
      <c r="A436" s="1">
        <v>42439</v>
      </c>
      <c r="B436" t="s">
        <v>10</v>
      </c>
      <c r="C436" t="s">
        <v>9</v>
      </c>
    </row>
    <row r="437" spans="1:3" x14ac:dyDescent="0.45">
      <c r="A437" s="1">
        <v>42440</v>
      </c>
      <c r="B437" t="s">
        <v>10</v>
      </c>
      <c r="C437" t="s">
        <v>9</v>
      </c>
    </row>
    <row r="438" spans="1:3" x14ac:dyDescent="0.45">
      <c r="A438" s="1">
        <v>42441</v>
      </c>
      <c r="B438" t="s">
        <v>10</v>
      </c>
      <c r="C438" t="s">
        <v>9</v>
      </c>
    </row>
    <row r="439" spans="1:3" x14ac:dyDescent="0.45">
      <c r="A439" s="1">
        <v>42442</v>
      </c>
      <c r="B439" t="s">
        <v>10</v>
      </c>
      <c r="C439" t="s">
        <v>9</v>
      </c>
    </row>
    <row r="440" spans="1:3" x14ac:dyDescent="0.45">
      <c r="A440" s="1">
        <v>42443</v>
      </c>
      <c r="B440" t="s">
        <v>10</v>
      </c>
      <c r="C440" t="s">
        <v>10</v>
      </c>
    </row>
    <row r="441" spans="1:3" x14ac:dyDescent="0.45">
      <c r="A441" s="1">
        <v>42444</v>
      </c>
      <c r="B441" t="s">
        <v>10</v>
      </c>
      <c r="C441" t="s">
        <v>9</v>
      </c>
    </row>
    <row r="442" spans="1:3" x14ac:dyDescent="0.45">
      <c r="A442" s="1">
        <v>42445</v>
      </c>
      <c r="B442" t="s">
        <v>10</v>
      </c>
      <c r="C442" t="s">
        <v>9</v>
      </c>
    </row>
    <row r="443" spans="1:3" x14ac:dyDescent="0.45">
      <c r="A443" s="1">
        <v>42446</v>
      </c>
      <c r="B443" t="s">
        <v>10</v>
      </c>
      <c r="C443" t="s">
        <v>9</v>
      </c>
    </row>
    <row r="444" spans="1:3" x14ac:dyDescent="0.45">
      <c r="A444" s="1">
        <v>42447</v>
      </c>
      <c r="B444" t="s">
        <v>10</v>
      </c>
      <c r="C444" t="s">
        <v>9</v>
      </c>
    </row>
    <row r="445" spans="1:3" x14ac:dyDescent="0.45">
      <c r="A445" s="1">
        <v>42448</v>
      </c>
      <c r="B445" t="s">
        <v>10</v>
      </c>
      <c r="C445" t="s">
        <v>9</v>
      </c>
    </row>
    <row r="446" spans="1:3" x14ac:dyDescent="0.45">
      <c r="A446" s="1">
        <v>42449</v>
      </c>
      <c r="B446" t="s">
        <v>10</v>
      </c>
      <c r="C446" t="s">
        <v>9</v>
      </c>
    </row>
    <row r="447" spans="1:3" x14ac:dyDescent="0.45">
      <c r="A447" s="1">
        <v>42450</v>
      </c>
      <c r="B447" t="s">
        <v>10</v>
      </c>
      <c r="C447" t="s">
        <v>9</v>
      </c>
    </row>
    <row r="448" spans="1:3" x14ac:dyDescent="0.45">
      <c r="A448" s="1">
        <v>42451</v>
      </c>
      <c r="B448" t="s">
        <v>10</v>
      </c>
      <c r="C448" t="s">
        <v>9</v>
      </c>
    </row>
    <row r="449" spans="1:3" x14ac:dyDescent="0.45">
      <c r="A449" s="1">
        <v>42452</v>
      </c>
      <c r="B449" t="s">
        <v>10</v>
      </c>
      <c r="C449" t="s">
        <v>9</v>
      </c>
    </row>
    <row r="450" spans="1:3" x14ac:dyDescent="0.45">
      <c r="A450" s="1">
        <v>42453</v>
      </c>
      <c r="B450" t="s">
        <v>9</v>
      </c>
      <c r="C450" t="s">
        <v>9</v>
      </c>
    </row>
    <row r="451" spans="1:3" x14ac:dyDescent="0.45">
      <c r="A451" s="1">
        <v>42454</v>
      </c>
      <c r="B451" t="s">
        <v>9</v>
      </c>
      <c r="C451" t="s">
        <v>10</v>
      </c>
    </row>
    <row r="452" spans="1:3" x14ac:dyDescent="0.45">
      <c r="A452" s="1">
        <v>42455</v>
      </c>
      <c r="B452" t="s">
        <v>9</v>
      </c>
      <c r="C452" t="s">
        <v>10</v>
      </c>
    </row>
    <row r="453" spans="1:3" x14ac:dyDescent="0.45">
      <c r="A453" s="1">
        <v>42456</v>
      </c>
      <c r="B453" t="s">
        <v>9</v>
      </c>
      <c r="C453" t="s">
        <v>10</v>
      </c>
    </row>
    <row r="454" spans="1:3" x14ac:dyDescent="0.45">
      <c r="A454" s="1">
        <v>42457</v>
      </c>
      <c r="B454" t="s">
        <v>9</v>
      </c>
      <c r="C454" t="s">
        <v>10</v>
      </c>
    </row>
    <row r="455" spans="1:3" x14ac:dyDescent="0.45">
      <c r="A455" s="1">
        <v>42458</v>
      </c>
      <c r="B455" t="s">
        <v>9</v>
      </c>
      <c r="C455" t="s">
        <v>9</v>
      </c>
    </row>
    <row r="456" spans="1:3" x14ac:dyDescent="0.45">
      <c r="A456" s="1">
        <v>42459</v>
      </c>
      <c r="B456" t="s">
        <v>9</v>
      </c>
      <c r="C456" t="s">
        <v>9</v>
      </c>
    </row>
    <row r="457" spans="1:3" x14ac:dyDescent="0.45">
      <c r="A457" s="1">
        <v>42460</v>
      </c>
      <c r="B457" t="s">
        <v>9</v>
      </c>
      <c r="C457" t="s">
        <v>9</v>
      </c>
    </row>
    <row r="458" spans="1:3" x14ac:dyDescent="0.45">
      <c r="A458" s="1">
        <v>42461</v>
      </c>
      <c r="B458" t="s">
        <v>9</v>
      </c>
      <c r="C458" t="s">
        <v>9</v>
      </c>
    </row>
    <row r="459" spans="1:3" x14ac:dyDescent="0.45">
      <c r="A459" s="1">
        <v>42462</v>
      </c>
      <c r="B459" t="s">
        <v>9</v>
      </c>
      <c r="C459" t="s">
        <v>9</v>
      </c>
    </row>
    <row r="460" spans="1:3" x14ac:dyDescent="0.45">
      <c r="A460" s="1">
        <v>42463</v>
      </c>
      <c r="B460" t="s">
        <v>9</v>
      </c>
      <c r="C460" t="s">
        <v>9</v>
      </c>
    </row>
    <row r="461" spans="1:3" x14ac:dyDescent="0.45">
      <c r="A461" s="1">
        <v>42464</v>
      </c>
      <c r="B461" t="s">
        <v>9</v>
      </c>
      <c r="C461" t="s">
        <v>9</v>
      </c>
    </row>
    <row r="462" spans="1:3" x14ac:dyDescent="0.45">
      <c r="A462" s="1">
        <v>42465</v>
      </c>
      <c r="B462" t="s">
        <v>9</v>
      </c>
      <c r="C462" t="s">
        <v>9</v>
      </c>
    </row>
    <row r="463" spans="1:3" x14ac:dyDescent="0.45">
      <c r="A463" s="1">
        <v>42466</v>
      </c>
      <c r="B463" t="s">
        <v>9</v>
      </c>
      <c r="C463" t="s">
        <v>9</v>
      </c>
    </row>
    <row r="464" spans="1:3" x14ac:dyDescent="0.45">
      <c r="A464" s="1">
        <v>42467</v>
      </c>
      <c r="B464" t="s">
        <v>9</v>
      </c>
      <c r="C464" t="s">
        <v>9</v>
      </c>
    </row>
    <row r="465" spans="1:3" x14ac:dyDescent="0.45">
      <c r="A465" s="1">
        <v>42468</v>
      </c>
      <c r="B465" t="s">
        <v>9</v>
      </c>
      <c r="C465" t="s">
        <v>9</v>
      </c>
    </row>
    <row r="466" spans="1:3" x14ac:dyDescent="0.45">
      <c r="A466" s="1">
        <v>42469</v>
      </c>
      <c r="B466" t="s">
        <v>9</v>
      </c>
      <c r="C466" t="s">
        <v>9</v>
      </c>
    </row>
    <row r="467" spans="1:3" x14ac:dyDescent="0.45">
      <c r="A467" s="1">
        <v>42470</v>
      </c>
      <c r="B467" t="s">
        <v>9</v>
      </c>
      <c r="C467" t="s">
        <v>9</v>
      </c>
    </row>
    <row r="468" spans="1:3" x14ac:dyDescent="0.45">
      <c r="A468" s="1">
        <v>42471</v>
      </c>
      <c r="B468" t="s">
        <v>9</v>
      </c>
      <c r="C468" t="s">
        <v>9</v>
      </c>
    </row>
    <row r="469" spans="1:3" x14ac:dyDescent="0.45">
      <c r="A469" s="1">
        <v>42472</v>
      </c>
      <c r="B469" t="s">
        <v>10</v>
      </c>
      <c r="C469" t="s">
        <v>9</v>
      </c>
    </row>
    <row r="470" spans="1:3" x14ac:dyDescent="0.45">
      <c r="A470" s="1">
        <v>42473</v>
      </c>
      <c r="B470" t="s">
        <v>10</v>
      </c>
      <c r="C470" t="s">
        <v>9</v>
      </c>
    </row>
    <row r="471" spans="1:3" x14ac:dyDescent="0.45">
      <c r="A471" s="1">
        <v>42474</v>
      </c>
      <c r="B471" t="s">
        <v>10</v>
      </c>
      <c r="C471" t="s">
        <v>9</v>
      </c>
    </row>
    <row r="472" spans="1:3" x14ac:dyDescent="0.45">
      <c r="A472" s="1">
        <v>42475</v>
      </c>
      <c r="B472" t="s">
        <v>10</v>
      </c>
      <c r="C472" t="s">
        <v>9</v>
      </c>
    </row>
    <row r="473" spans="1:3" x14ac:dyDescent="0.45">
      <c r="A473" s="1">
        <v>42476</v>
      </c>
      <c r="B473" t="s">
        <v>10</v>
      </c>
      <c r="C473" t="s">
        <v>9</v>
      </c>
    </row>
    <row r="474" spans="1:3" x14ac:dyDescent="0.45">
      <c r="A474" s="1">
        <v>42477</v>
      </c>
      <c r="B474" t="s">
        <v>10</v>
      </c>
      <c r="C474" t="s">
        <v>9</v>
      </c>
    </row>
    <row r="475" spans="1:3" x14ac:dyDescent="0.45">
      <c r="A475" s="1">
        <v>42478</v>
      </c>
      <c r="B475" t="s">
        <v>10</v>
      </c>
      <c r="C475" t="s">
        <v>9</v>
      </c>
    </row>
    <row r="476" spans="1:3" x14ac:dyDescent="0.45">
      <c r="A476" s="1">
        <v>42479</v>
      </c>
      <c r="B476" t="s">
        <v>10</v>
      </c>
      <c r="C476" t="s">
        <v>9</v>
      </c>
    </row>
    <row r="477" spans="1:3" x14ac:dyDescent="0.45">
      <c r="A477" s="1">
        <v>42480</v>
      </c>
      <c r="B477" t="s">
        <v>10</v>
      </c>
      <c r="C477" t="s">
        <v>9</v>
      </c>
    </row>
    <row r="478" spans="1:3" x14ac:dyDescent="0.45">
      <c r="A478" s="1">
        <v>42481</v>
      </c>
      <c r="B478" t="s">
        <v>10</v>
      </c>
      <c r="C478" t="s">
        <v>9</v>
      </c>
    </row>
    <row r="479" spans="1:3" x14ac:dyDescent="0.45">
      <c r="A479" s="1">
        <v>42482</v>
      </c>
      <c r="B479" t="s">
        <v>10</v>
      </c>
      <c r="C479" t="s">
        <v>9</v>
      </c>
    </row>
    <row r="480" spans="1:3" x14ac:dyDescent="0.45">
      <c r="A480" s="1">
        <v>42483</v>
      </c>
      <c r="B480" t="s">
        <v>10</v>
      </c>
      <c r="C480" t="s">
        <v>9</v>
      </c>
    </row>
    <row r="481" spans="1:3" x14ac:dyDescent="0.45">
      <c r="A481" s="1">
        <v>42484</v>
      </c>
      <c r="B481" t="s">
        <v>10</v>
      </c>
      <c r="C481" t="s">
        <v>9</v>
      </c>
    </row>
    <row r="482" spans="1:3" x14ac:dyDescent="0.45">
      <c r="A482" s="1">
        <v>42485</v>
      </c>
      <c r="B482" t="s">
        <v>10</v>
      </c>
      <c r="C482" t="s">
        <v>10</v>
      </c>
    </row>
    <row r="483" spans="1:3" x14ac:dyDescent="0.45">
      <c r="A483" s="1">
        <v>42486</v>
      </c>
      <c r="B483" t="s">
        <v>10</v>
      </c>
      <c r="C483" t="s">
        <v>9</v>
      </c>
    </row>
    <row r="484" spans="1:3" x14ac:dyDescent="0.45">
      <c r="A484" s="1">
        <v>42487</v>
      </c>
      <c r="B484" t="s">
        <v>10</v>
      </c>
      <c r="C484" t="s">
        <v>9</v>
      </c>
    </row>
    <row r="485" spans="1:3" x14ac:dyDescent="0.45">
      <c r="A485" s="1">
        <v>42488</v>
      </c>
      <c r="B485" t="s">
        <v>10</v>
      </c>
      <c r="C485" t="s">
        <v>9</v>
      </c>
    </row>
    <row r="486" spans="1:3" x14ac:dyDescent="0.45">
      <c r="A486" s="1">
        <v>42489</v>
      </c>
      <c r="B486" t="s">
        <v>10</v>
      </c>
      <c r="C486" t="s">
        <v>9</v>
      </c>
    </row>
    <row r="487" spans="1:3" x14ac:dyDescent="0.45">
      <c r="A487" s="1">
        <v>42490</v>
      </c>
      <c r="B487" t="s">
        <v>10</v>
      </c>
      <c r="C487" t="s">
        <v>9</v>
      </c>
    </row>
    <row r="488" spans="1:3" x14ac:dyDescent="0.45">
      <c r="A488" s="1">
        <v>42491</v>
      </c>
      <c r="B488" t="s">
        <v>10</v>
      </c>
      <c r="C488" t="s">
        <v>9</v>
      </c>
    </row>
    <row r="489" spans="1:3" x14ac:dyDescent="0.45">
      <c r="A489" s="1">
        <v>42492</v>
      </c>
      <c r="B489" t="s">
        <v>10</v>
      </c>
      <c r="C489" t="s">
        <v>9</v>
      </c>
    </row>
    <row r="490" spans="1:3" x14ac:dyDescent="0.45">
      <c r="A490" s="1">
        <v>42493</v>
      </c>
      <c r="B490" t="s">
        <v>10</v>
      </c>
      <c r="C490" t="s">
        <v>9</v>
      </c>
    </row>
    <row r="491" spans="1:3" x14ac:dyDescent="0.45">
      <c r="A491" s="1">
        <v>42494</v>
      </c>
      <c r="B491" t="s">
        <v>10</v>
      </c>
      <c r="C491" t="s">
        <v>9</v>
      </c>
    </row>
    <row r="492" spans="1:3" x14ac:dyDescent="0.45">
      <c r="A492" s="1">
        <v>42495</v>
      </c>
      <c r="B492" t="s">
        <v>10</v>
      </c>
      <c r="C492" t="s">
        <v>9</v>
      </c>
    </row>
    <row r="493" spans="1:3" x14ac:dyDescent="0.45">
      <c r="A493" s="1">
        <v>42496</v>
      </c>
      <c r="B493" t="s">
        <v>10</v>
      </c>
      <c r="C493" t="s">
        <v>9</v>
      </c>
    </row>
    <row r="494" spans="1:3" x14ac:dyDescent="0.45">
      <c r="A494" s="1">
        <v>42497</v>
      </c>
      <c r="B494" t="s">
        <v>10</v>
      </c>
      <c r="C494" t="s">
        <v>9</v>
      </c>
    </row>
    <row r="495" spans="1:3" x14ac:dyDescent="0.45">
      <c r="A495" s="1">
        <v>42498</v>
      </c>
      <c r="B495" t="s">
        <v>10</v>
      </c>
      <c r="C495" t="s">
        <v>9</v>
      </c>
    </row>
    <row r="496" spans="1:3" x14ac:dyDescent="0.45">
      <c r="A496" s="1">
        <v>42499</v>
      </c>
      <c r="B496" t="s">
        <v>10</v>
      </c>
      <c r="C496" t="s">
        <v>9</v>
      </c>
    </row>
    <row r="497" spans="1:3" x14ac:dyDescent="0.45">
      <c r="A497" s="1">
        <v>42500</v>
      </c>
      <c r="B497" t="s">
        <v>10</v>
      </c>
      <c r="C497" t="s">
        <v>9</v>
      </c>
    </row>
    <row r="498" spans="1:3" x14ac:dyDescent="0.45">
      <c r="A498" s="1">
        <v>42501</v>
      </c>
      <c r="B498" t="s">
        <v>10</v>
      </c>
      <c r="C498" t="s">
        <v>9</v>
      </c>
    </row>
    <row r="499" spans="1:3" x14ac:dyDescent="0.45">
      <c r="A499" s="1">
        <v>42502</v>
      </c>
      <c r="B499" t="s">
        <v>10</v>
      </c>
      <c r="C499" t="s">
        <v>9</v>
      </c>
    </row>
    <row r="500" spans="1:3" x14ac:dyDescent="0.45">
      <c r="A500" s="1">
        <v>42503</v>
      </c>
      <c r="B500" t="s">
        <v>10</v>
      </c>
      <c r="C500" t="s">
        <v>9</v>
      </c>
    </row>
    <row r="501" spans="1:3" x14ac:dyDescent="0.45">
      <c r="A501" s="1">
        <v>42504</v>
      </c>
      <c r="B501" t="s">
        <v>10</v>
      </c>
      <c r="C501" t="s">
        <v>9</v>
      </c>
    </row>
    <row r="502" spans="1:3" x14ac:dyDescent="0.45">
      <c r="A502" s="1">
        <v>42505</v>
      </c>
      <c r="B502" t="s">
        <v>10</v>
      </c>
      <c r="C502" t="s">
        <v>9</v>
      </c>
    </row>
    <row r="503" spans="1:3" x14ac:dyDescent="0.45">
      <c r="A503" s="1">
        <v>42506</v>
      </c>
      <c r="B503" t="s">
        <v>10</v>
      </c>
      <c r="C503" t="s">
        <v>9</v>
      </c>
    </row>
    <row r="504" spans="1:3" x14ac:dyDescent="0.45">
      <c r="A504" s="1">
        <v>42507</v>
      </c>
      <c r="B504" t="s">
        <v>10</v>
      </c>
      <c r="C504" t="s">
        <v>9</v>
      </c>
    </row>
    <row r="505" spans="1:3" x14ac:dyDescent="0.45">
      <c r="A505" s="1">
        <v>42508</v>
      </c>
      <c r="B505" t="s">
        <v>10</v>
      </c>
      <c r="C505" t="s">
        <v>9</v>
      </c>
    </row>
    <row r="506" spans="1:3" x14ac:dyDescent="0.45">
      <c r="A506" s="1">
        <v>42509</v>
      </c>
      <c r="B506" t="s">
        <v>10</v>
      </c>
      <c r="C506" t="s">
        <v>9</v>
      </c>
    </row>
    <row r="507" spans="1:3" x14ac:dyDescent="0.45">
      <c r="A507" s="1">
        <v>42510</v>
      </c>
      <c r="B507" t="s">
        <v>10</v>
      </c>
      <c r="C507" t="s">
        <v>9</v>
      </c>
    </row>
    <row r="508" spans="1:3" x14ac:dyDescent="0.45">
      <c r="A508" s="1">
        <v>42511</v>
      </c>
      <c r="B508" t="s">
        <v>10</v>
      </c>
      <c r="C508" t="s">
        <v>9</v>
      </c>
    </row>
    <row r="509" spans="1:3" x14ac:dyDescent="0.45">
      <c r="A509" s="1">
        <v>42512</v>
      </c>
      <c r="B509" t="s">
        <v>10</v>
      </c>
      <c r="C509" t="s">
        <v>9</v>
      </c>
    </row>
    <row r="510" spans="1:3" x14ac:dyDescent="0.45">
      <c r="A510" s="1">
        <v>42513</v>
      </c>
      <c r="B510" t="s">
        <v>10</v>
      </c>
      <c r="C510" t="s">
        <v>9</v>
      </c>
    </row>
    <row r="511" spans="1:3" x14ac:dyDescent="0.45">
      <c r="A511" s="1">
        <v>42514</v>
      </c>
      <c r="B511" t="s">
        <v>10</v>
      </c>
      <c r="C511" t="s">
        <v>9</v>
      </c>
    </row>
    <row r="512" spans="1:3" x14ac:dyDescent="0.45">
      <c r="A512" s="1">
        <v>42515</v>
      </c>
      <c r="B512" t="s">
        <v>10</v>
      </c>
      <c r="C512" t="s">
        <v>9</v>
      </c>
    </row>
    <row r="513" spans="1:3" x14ac:dyDescent="0.45">
      <c r="A513" s="1">
        <v>42516</v>
      </c>
      <c r="B513" t="s">
        <v>10</v>
      </c>
      <c r="C513" t="s">
        <v>9</v>
      </c>
    </row>
    <row r="514" spans="1:3" x14ac:dyDescent="0.45">
      <c r="A514" s="1">
        <v>42517</v>
      </c>
      <c r="B514" t="s">
        <v>10</v>
      </c>
      <c r="C514" t="s">
        <v>9</v>
      </c>
    </row>
    <row r="515" spans="1:3" x14ac:dyDescent="0.45">
      <c r="A515" s="1">
        <v>42518</v>
      </c>
      <c r="B515" t="s">
        <v>10</v>
      </c>
      <c r="C515" t="s">
        <v>9</v>
      </c>
    </row>
    <row r="516" spans="1:3" x14ac:dyDescent="0.45">
      <c r="A516" s="1">
        <v>42519</v>
      </c>
      <c r="B516" t="s">
        <v>10</v>
      </c>
      <c r="C516" t="s">
        <v>9</v>
      </c>
    </row>
    <row r="517" spans="1:3" x14ac:dyDescent="0.45">
      <c r="A517" s="1">
        <v>42520</v>
      </c>
      <c r="B517" t="s">
        <v>10</v>
      </c>
      <c r="C517" t="s">
        <v>9</v>
      </c>
    </row>
    <row r="518" spans="1:3" x14ac:dyDescent="0.45">
      <c r="A518" s="1">
        <v>42521</v>
      </c>
      <c r="B518" t="s">
        <v>10</v>
      </c>
      <c r="C518" t="s">
        <v>9</v>
      </c>
    </row>
    <row r="519" spans="1:3" x14ac:dyDescent="0.45">
      <c r="A519" s="1">
        <v>42522</v>
      </c>
      <c r="B519" t="s">
        <v>10</v>
      </c>
      <c r="C519" t="s">
        <v>9</v>
      </c>
    </row>
    <row r="520" spans="1:3" x14ac:dyDescent="0.45">
      <c r="A520" s="1">
        <v>42523</v>
      </c>
      <c r="B520" t="s">
        <v>10</v>
      </c>
      <c r="C520" t="s">
        <v>9</v>
      </c>
    </row>
    <row r="521" spans="1:3" x14ac:dyDescent="0.45">
      <c r="A521" s="1">
        <v>42524</v>
      </c>
      <c r="B521" t="s">
        <v>10</v>
      </c>
      <c r="C521" t="s">
        <v>9</v>
      </c>
    </row>
    <row r="522" spans="1:3" x14ac:dyDescent="0.45">
      <c r="A522" s="1">
        <v>42525</v>
      </c>
      <c r="B522" t="s">
        <v>10</v>
      </c>
      <c r="C522" t="s">
        <v>9</v>
      </c>
    </row>
    <row r="523" spans="1:3" x14ac:dyDescent="0.45">
      <c r="A523" s="1">
        <v>42526</v>
      </c>
      <c r="B523" t="s">
        <v>10</v>
      </c>
      <c r="C523" t="s">
        <v>9</v>
      </c>
    </row>
    <row r="524" spans="1:3" x14ac:dyDescent="0.45">
      <c r="A524" s="1">
        <v>42527</v>
      </c>
      <c r="B524" t="s">
        <v>10</v>
      </c>
      <c r="C524" t="s">
        <v>9</v>
      </c>
    </row>
    <row r="525" spans="1:3" x14ac:dyDescent="0.45">
      <c r="A525" s="1">
        <v>42528</v>
      </c>
      <c r="B525" t="s">
        <v>10</v>
      </c>
      <c r="C525" t="s">
        <v>9</v>
      </c>
    </row>
    <row r="526" spans="1:3" x14ac:dyDescent="0.45">
      <c r="A526" s="1">
        <v>42529</v>
      </c>
      <c r="B526" t="s">
        <v>10</v>
      </c>
      <c r="C526" t="s">
        <v>9</v>
      </c>
    </row>
    <row r="527" spans="1:3" x14ac:dyDescent="0.45">
      <c r="A527" s="1">
        <v>42530</v>
      </c>
      <c r="B527" t="s">
        <v>10</v>
      </c>
      <c r="C527" t="s">
        <v>9</v>
      </c>
    </row>
    <row r="528" spans="1:3" x14ac:dyDescent="0.45">
      <c r="A528" s="1">
        <v>42531</v>
      </c>
      <c r="B528" t="s">
        <v>10</v>
      </c>
      <c r="C528" t="s">
        <v>9</v>
      </c>
    </row>
    <row r="529" spans="1:3" x14ac:dyDescent="0.45">
      <c r="A529" s="1">
        <v>42532</v>
      </c>
      <c r="B529" t="s">
        <v>10</v>
      </c>
      <c r="C529" t="s">
        <v>9</v>
      </c>
    </row>
    <row r="530" spans="1:3" x14ac:dyDescent="0.45">
      <c r="A530" s="1">
        <v>42533</v>
      </c>
      <c r="B530" t="s">
        <v>10</v>
      </c>
      <c r="C530" t="s">
        <v>9</v>
      </c>
    </row>
    <row r="531" spans="1:3" x14ac:dyDescent="0.45">
      <c r="A531" s="1">
        <v>42534</v>
      </c>
      <c r="B531" t="s">
        <v>10</v>
      </c>
      <c r="C531" t="s">
        <v>10</v>
      </c>
    </row>
    <row r="532" spans="1:3" x14ac:dyDescent="0.45">
      <c r="A532" s="1">
        <v>42535</v>
      </c>
      <c r="B532" t="s">
        <v>10</v>
      </c>
      <c r="C532" t="s">
        <v>9</v>
      </c>
    </row>
    <row r="533" spans="1:3" x14ac:dyDescent="0.45">
      <c r="A533" s="1">
        <v>42536</v>
      </c>
      <c r="B533" t="s">
        <v>10</v>
      </c>
      <c r="C533" t="s">
        <v>9</v>
      </c>
    </row>
    <row r="534" spans="1:3" x14ac:dyDescent="0.45">
      <c r="A534" s="1">
        <v>42537</v>
      </c>
      <c r="B534" t="s">
        <v>10</v>
      </c>
      <c r="C534" t="s">
        <v>9</v>
      </c>
    </row>
    <row r="535" spans="1:3" x14ac:dyDescent="0.45">
      <c r="A535" s="1">
        <v>42538</v>
      </c>
      <c r="B535" t="s">
        <v>10</v>
      </c>
      <c r="C535" t="s">
        <v>9</v>
      </c>
    </row>
    <row r="536" spans="1:3" x14ac:dyDescent="0.45">
      <c r="A536" s="1">
        <v>42539</v>
      </c>
      <c r="B536" t="s">
        <v>10</v>
      </c>
      <c r="C536" t="s">
        <v>9</v>
      </c>
    </row>
    <row r="537" spans="1:3" x14ac:dyDescent="0.45">
      <c r="A537" s="1">
        <v>42540</v>
      </c>
      <c r="B537" t="s">
        <v>10</v>
      </c>
      <c r="C537" t="s">
        <v>9</v>
      </c>
    </row>
    <row r="538" spans="1:3" x14ac:dyDescent="0.45">
      <c r="A538" s="1">
        <v>42541</v>
      </c>
      <c r="B538" t="s">
        <v>10</v>
      </c>
      <c r="C538" t="s">
        <v>9</v>
      </c>
    </row>
    <row r="539" spans="1:3" x14ac:dyDescent="0.45">
      <c r="A539" s="1">
        <v>42542</v>
      </c>
      <c r="B539" t="s">
        <v>10</v>
      </c>
      <c r="C539" t="s">
        <v>9</v>
      </c>
    </row>
    <row r="540" spans="1:3" x14ac:dyDescent="0.45">
      <c r="A540" s="1">
        <v>42543</v>
      </c>
      <c r="B540" t="s">
        <v>10</v>
      </c>
      <c r="C540" t="s">
        <v>9</v>
      </c>
    </row>
    <row r="541" spans="1:3" x14ac:dyDescent="0.45">
      <c r="A541" s="1">
        <v>42544</v>
      </c>
      <c r="B541" t="s">
        <v>10</v>
      </c>
      <c r="C541" t="s">
        <v>9</v>
      </c>
    </row>
    <row r="542" spans="1:3" x14ac:dyDescent="0.45">
      <c r="A542" s="1">
        <v>42545</v>
      </c>
      <c r="B542" t="s">
        <v>9</v>
      </c>
      <c r="C542" t="s">
        <v>9</v>
      </c>
    </row>
    <row r="543" spans="1:3" x14ac:dyDescent="0.45">
      <c r="A543" s="1">
        <v>42546</v>
      </c>
      <c r="B543" t="s">
        <v>9</v>
      </c>
      <c r="C543" t="s">
        <v>9</v>
      </c>
    </row>
    <row r="544" spans="1:3" x14ac:dyDescent="0.45">
      <c r="A544" s="1">
        <v>42547</v>
      </c>
      <c r="B544" t="s">
        <v>9</v>
      </c>
      <c r="C544" t="s">
        <v>9</v>
      </c>
    </row>
    <row r="545" spans="1:3" x14ac:dyDescent="0.45">
      <c r="A545" s="1">
        <v>42548</v>
      </c>
      <c r="B545" t="s">
        <v>9</v>
      </c>
      <c r="C545" t="s">
        <v>9</v>
      </c>
    </row>
    <row r="546" spans="1:3" x14ac:dyDescent="0.45">
      <c r="A546" s="1">
        <v>42549</v>
      </c>
      <c r="B546" t="s">
        <v>9</v>
      </c>
      <c r="C546" t="s">
        <v>9</v>
      </c>
    </row>
    <row r="547" spans="1:3" x14ac:dyDescent="0.45">
      <c r="A547" s="1">
        <v>42550</v>
      </c>
      <c r="B547" t="s">
        <v>9</v>
      </c>
      <c r="C547" t="s">
        <v>9</v>
      </c>
    </row>
    <row r="548" spans="1:3" x14ac:dyDescent="0.45">
      <c r="A548" s="1">
        <v>42551</v>
      </c>
      <c r="B548" t="s">
        <v>9</v>
      </c>
      <c r="C548" t="s">
        <v>9</v>
      </c>
    </row>
    <row r="549" spans="1:3" x14ac:dyDescent="0.45">
      <c r="A549" s="1">
        <v>42552</v>
      </c>
      <c r="B549" t="s">
        <v>9</v>
      </c>
      <c r="C549" t="s">
        <v>9</v>
      </c>
    </row>
    <row r="550" spans="1:3" x14ac:dyDescent="0.45">
      <c r="A550" s="1">
        <v>42553</v>
      </c>
      <c r="B550" t="s">
        <v>9</v>
      </c>
      <c r="C550" t="s">
        <v>9</v>
      </c>
    </row>
    <row r="551" spans="1:3" x14ac:dyDescent="0.45">
      <c r="A551" s="1">
        <v>42554</v>
      </c>
      <c r="B551" t="s">
        <v>9</v>
      </c>
      <c r="C551" t="s">
        <v>9</v>
      </c>
    </row>
    <row r="552" spans="1:3" x14ac:dyDescent="0.45">
      <c r="A552" s="1">
        <v>42555</v>
      </c>
      <c r="B552" t="s">
        <v>9</v>
      </c>
      <c r="C552" t="s">
        <v>9</v>
      </c>
    </row>
    <row r="553" spans="1:3" x14ac:dyDescent="0.45">
      <c r="A553" s="1">
        <v>42556</v>
      </c>
      <c r="B553" t="s">
        <v>9</v>
      </c>
      <c r="C553" t="s">
        <v>9</v>
      </c>
    </row>
    <row r="554" spans="1:3" x14ac:dyDescent="0.45">
      <c r="A554" s="1">
        <v>42557</v>
      </c>
      <c r="B554" t="s">
        <v>9</v>
      </c>
      <c r="C554" t="s">
        <v>9</v>
      </c>
    </row>
    <row r="555" spans="1:3" x14ac:dyDescent="0.45">
      <c r="A555" s="1">
        <v>42558</v>
      </c>
      <c r="B555" t="s">
        <v>9</v>
      </c>
      <c r="C555" t="s">
        <v>9</v>
      </c>
    </row>
    <row r="556" spans="1:3" x14ac:dyDescent="0.45">
      <c r="A556" s="1">
        <v>42559</v>
      </c>
      <c r="B556" t="s">
        <v>9</v>
      </c>
      <c r="C556" t="s">
        <v>9</v>
      </c>
    </row>
    <row r="557" spans="1:3" x14ac:dyDescent="0.45">
      <c r="A557" s="1">
        <v>42560</v>
      </c>
      <c r="B557" t="s">
        <v>9</v>
      </c>
      <c r="C557" t="s">
        <v>9</v>
      </c>
    </row>
    <row r="558" spans="1:3" x14ac:dyDescent="0.45">
      <c r="A558" s="1">
        <v>42561</v>
      </c>
      <c r="B558" t="s">
        <v>9</v>
      </c>
      <c r="C558" t="s">
        <v>9</v>
      </c>
    </row>
    <row r="559" spans="1:3" x14ac:dyDescent="0.45">
      <c r="A559" s="1">
        <v>42562</v>
      </c>
      <c r="B559" t="s">
        <v>9</v>
      </c>
      <c r="C559" t="s">
        <v>9</v>
      </c>
    </row>
    <row r="560" spans="1:3" x14ac:dyDescent="0.45">
      <c r="A560" s="1">
        <v>42563</v>
      </c>
      <c r="B560" t="s">
        <v>10</v>
      </c>
      <c r="C560" t="s">
        <v>9</v>
      </c>
    </row>
    <row r="561" spans="1:3" x14ac:dyDescent="0.45">
      <c r="A561" s="1">
        <v>42564</v>
      </c>
      <c r="B561" t="s">
        <v>10</v>
      </c>
      <c r="C561" t="s">
        <v>9</v>
      </c>
    </row>
    <row r="562" spans="1:3" x14ac:dyDescent="0.45">
      <c r="A562" s="1">
        <v>42565</v>
      </c>
      <c r="B562" t="s">
        <v>10</v>
      </c>
      <c r="C562" t="s">
        <v>9</v>
      </c>
    </row>
    <row r="563" spans="1:3" x14ac:dyDescent="0.45">
      <c r="A563" s="1">
        <v>42566</v>
      </c>
      <c r="B563" t="s">
        <v>10</v>
      </c>
      <c r="C563" t="s">
        <v>9</v>
      </c>
    </row>
    <row r="564" spans="1:3" x14ac:dyDescent="0.45">
      <c r="A564" s="1">
        <v>42567</v>
      </c>
      <c r="B564" t="s">
        <v>10</v>
      </c>
      <c r="C564" t="s">
        <v>9</v>
      </c>
    </row>
    <row r="565" spans="1:3" x14ac:dyDescent="0.45">
      <c r="A565" s="1">
        <v>42568</v>
      </c>
      <c r="B565" t="s">
        <v>10</v>
      </c>
      <c r="C565" t="s">
        <v>9</v>
      </c>
    </row>
    <row r="566" spans="1:3" x14ac:dyDescent="0.45">
      <c r="A566" s="1">
        <v>42569</v>
      </c>
      <c r="B566" t="s">
        <v>10</v>
      </c>
      <c r="C566" t="s">
        <v>9</v>
      </c>
    </row>
    <row r="567" spans="1:3" x14ac:dyDescent="0.45">
      <c r="A567" s="1">
        <v>42570</v>
      </c>
      <c r="B567" t="s">
        <v>10</v>
      </c>
      <c r="C567" t="s">
        <v>9</v>
      </c>
    </row>
    <row r="568" spans="1:3" x14ac:dyDescent="0.45">
      <c r="A568" s="1">
        <v>42571</v>
      </c>
      <c r="B568" t="s">
        <v>10</v>
      </c>
      <c r="C568" t="s">
        <v>9</v>
      </c>
    </row>
    <row r="569" spans="1:3" x14ac:dyDescent="0.45">
      <c r="A569" s="1">
        <v>42572</v>
      </c>
      <c r="B569" t="s">
        <v>10</v>
      </c>
      <c r="C569" t="s">
        <v>9</v>
      </c>
    </row>
    <row r="570" spans="1:3" x14ac:dyDescent="0.45">
      <c r="A570" s="1">
        <v>42573</v>
      </c>
      <c r="B570" t="s">
        <v>10</v>
      </c>
      <c r="C570" t="s">
        <v>9</v>
      </c>
    </row>
    <row r="571" spans="1:3" x14ac:dyDescent="0.45">
      <c r="A571" s="1">
        <v>42574</v>
      </c>
      <c r="B571" t="s">
        <v>10</v>
      </c>
      <c r="C571" t="s">
        <v>9</v>
      </c>
    </row>
    <row r="572" spans="1:3" x14ac:dyDescent="0.45">
      <c r="A572" s="1">
        <v>42575</v>
      </c>
      <c r="B572" t="s">
        <v>10</v>
      </c>
      <c r="C572" t="s">
        <v>9</v>
      </c>
    </row>
    <row r="573" spans="1:3" x14ac:dyDescent="0.45">
      <c r="A573" s="1">
        <v>42576</v>
      </c>
      <c r="B573" t="s">
        <v>10</v>
      </c>
      <c r="C573" t="s">
        <v>9</v>
      </c>
    </row>
    <row r="574" spans="1:3" x14ac:dyDescent="0.45">
      <c r="A574" s="1">
        <v>42577</v>
      </c>
      <c r="B574" t="s">
        <v>10</v>
      </c>
      <c r="C574" t="s">
        <v>9</v>
      </c>
    </row>
    <row r="575" spans="1:3" x14ac:dyDescent="0.45">
      <c r="A575" s="1">
        <v>42578</v>
      </c>
      <c r="B575" t="s">
        <v>10</v>
      </c>
      <c r="C575" t="s">
        <v>9</v>
      </c>
    </row>
    <row r="576" spans="1:3" x14ac:dyDescent="0.45">
      <c r="A576" s="1">
        <v>42579</v>
      </c>
      <c r="B576" t="s">
        <v>10</v>
      </c>
      <c r="C576" t="s">
        <v>9</v>
      </c>
    </row>
    <row r="577" spans="1:3" x14ac:dyDescent="0.45">
      <c r="A577" s="1">
        <v>42580</v>
      </c>
      <c r="B577" t="s">
        <v>10</v>
      </c>
      <c r="C577" t="s">
        <v>9</v>
      </c>
    </row>
    <row r="578" spans="1:3" x14ac:dyDescent="0.45">
      <c r="A578" s="1">
        <v>42581</v>
      </c>
      <c r="B578" t="s">
        <v>10</v>
      </c>
      <c r="C578" t="s">
        <v>9</v>
      </c>
    </row>
    <row r="579" spans="1:3" x14ac:dyDescent="0.45">
      <c r="A579" s="1">
        <v>42582</v>
      </c>
      <c r="B579" t="s">
        <v>10</v>
      </c>
      <c r="C579" t="s">
        <v>9</v>
      </c>
    </row>
    <row r="580" spans="1:3" x14ac:dyDescent="0.45">
      <c r="A580" s="1">
        <v>42583</v>
      </c>
      <c r="B580" t="s">
        <v>10</v>
      </c>
      <c r="C580" t="s">
        <v>9</v>
      </c>
    </row>
    <row r="581" spans="1:3" x14ac:dyDescent="0.45">
      <c r="A581" s="1">
        <v>42584</v>
      </c>
      <c r="B581" t="s">
        <v>10</v>
      </c>
      <c r="C581" t="s">
        <v>9</v>
      </c>
    </row>
    <row r="582" spans="1:3" x14ac:dyDescent="0.45">
      <c r="A582" s="1">
        <v>42585</v>
      </c>
      <c r="B582" t="s">
        <v>10</v>
      </c>
      <c r="C582" t="s">
        <v>9</v>
      </c>
    </row>
    <row r="583" spans="1:3" x14ac:dyDescent="0.45">
      <c r="A583" s="1">
        <v>42586</v>
      </c>
      <c r="B583" t="s">
        <v>10</v>
      </c>
      <c r="C583" t="s">
        <v>9</v>
      </c>
    </row>
    <row r="584" spans="1:3" x14ac:dyDescent="0.45">
      <c r="A584" s="1">
        <v>42587</v>
      </c>
      <c r="B584" t="s">
        <v>10</v>
      </c>
      <c r="C584" t="s">
        <v>9</v>
      </c>
    </row>
    <row r="585" spans="1:3" x14ac:dyDescent="0.45">
      <c r="A585" s="1">
        <v>42588</v>
      </c>
      <c r="B585" t="s">
        <v>10</v>
      </c>
      <c r="C585" t="s">
        <v>9</v>
      </c>
    </row>
    <row r="586" spans="1:3" x14ac:dyDescent="0.45">
      <c r="A586" s="1">
        <v>42589</v>
      </c>
      <c r="B586" t="s">
        <v>10</v>
      </c>
      <c r="C586" t="s">
        <v>9</v>
      </c>
    </row>
    <row r="587" spans="1:3" x14ac:dyDescent="0.45">
      <c r="A587" s="1">
        <v>42590</v>
      </c>
      <c r="B587" t="s">
        <v>10</v>
      </c>
      <c r="C587" t="s">
        <v>9</v>
      </c>
    </row>
    <row r="588" spans="1:3" x14ac:dyDescent="0.45">
      <c r="A588" s="1">
        <v>42591</v>
      </c>
      <c r="B588" t="s">
        <v>10</v>
      </c>
      <c r="C588" t="s">
        <v>9</v>
      </c>
    </row>
    <row r="589" spans="1:3" x14ac:dyDescent="0.45">
      <c r="A589" s="1">
        <v>42592</v>
      </c>
      <c r="B589" t="s">
        <v>10</v>
      </c>
      <c r="C589" t="s">
        <v>9</v>
      </c>
    </row>
    <row r="590" spans="1:3" x14ac:dyDescent="0.45">
      <c r="A590" s="1">
        <v>42593</v>
      </c>
      <c r="B590" t="s">
        <v>10</v>
      </c>
      <c r="C590" t="s">
        <v>9</v>
      </c>
    </row>
    <row r="591" spans="1:3" x14ac:dyDescent="0.45">
      <c r="A591" s="1">
        <v>42594</v>
      </c>
      <c r="B591" t="s">
        <v>10</v>
      </c>
      <c r="C591" t="s">
        <v>9</v>
      </c>
    </row>
    <row r="592" spans="1:3" x14ac:dyDescent="0.45">
      <c r="A592" s="1">
        <v>42595</v>
      </c>
      <c r="B592" t="s">
        <v>10</v>
      </c>
      <c r="C592" t="s">
        <v>9</v>
      </c>
    </row>
    <row r="593" spans="1:3" x14ac:dyDescent="0.45">
      <c r="A593" s="1">
        <v>42596</v>
      </c>
      <c r="B593" t="s">
        <v>10</v>
      </c>
      <c r="C593" t="s">
        <v>9</v>
      </c>
    </row>
    <row r="594" spans="1:3" x14ac:dyDescent="0.45">
      <c r="A594" s="1">
        <v>42597</v>
      </c>
      <c r="B594" t="s">
        <v>10</v>
      </c>
      <c r="C594" t="s">
        <v>9</v>
      </c>
    </row>
    <row r="595" spans="1:3" x14ac:dyDescent="0.45">
      <c r="A595" s="1">
        <v>42598</v>
      </c>
      <c r="B595" t="s">
        <v>10</v>
      </c>
      <c r="C595" t="s">
        <v>9</v>
      </c>
    </row>
    <row r="596" spans="1:3" x14ac:dyDescent="0.45">
      <c r="A596" s="1">
        <v>42599</v>
      </c>
      <c r="B596" t="s">
        <v>10</v>
      </c>
      <c r="C596" t="s">
        <v>9</v>
      </c>
    </row>
    <row r="597" spans="1:3" x14ac:dyDescent="0.45">
      <c r="A597" s="1">
        <v>42600</v>
      </c>
      <c r="B597" t="s">
        <v>10</v>
      </c>
      <c r="C597" t="s">
        <v>9</v>
      </c>
    </row>
    <row r="598" spans="1:3" x14ac:dyDescent="0.45">
      <c r="A598" s="1">
        <v>42601</v>
      </c>
      <c r="B598" t="s">
        <v>10</v>
      </c>
      <c r="C598" t="s">
        <v>9</v>
      </c>
    </row>
    <row r="599" spans="1:3" x14ac:dyDescent="0.45">
      <c r="A599" s="1">
        <v>42602</v>
      </c>
      <c r="B599" t="s">
        <v>10</v>
      </c>
      <c r="C599" t="s">
        <v>9</v>
      </c>
    </row>
    <row r="600" spans="1:3" x14ac:dyDescent="0.45">
      <c r="A600" s="1">
        <v>42603</v>
      </c>
      <c r="B600" t="s">
        <v>10</v>
      </c>
      <c r="C600" t="s">
        <v>9</v>
      </c>
    </row>
    <row r="601" spans="1:3" x14ac:dyDescent="0.45">
      <c r="A601" s="1">
        <v>42604</v>
      </c>
      <c r="B601" t="s">
        <v>10</v>
      </c>
      <c r="C601" t="s">
        <v>9</v>
      </c>
    </row>
    <row r="602" spans="1:3" x14ac:dyDescent="0.45">
      <c r="A602" s="1">
        <v>42605</v>
      </c>
      <c r="B602" t="s">
        <v>10</v>
      </c>
      <c r="C602" t="s">
        <v>9</v>
      </c>
    </row>
    <row r="603" spans="1:3" x14ac:dyDescent="0.45">
      <c r="A603" s="1">
        <v>42606</v>
      </c>
      <c r="B603" t="s">
        <v>10</v>
      </c>
      <c r="C603" t="s">
        <v>9</v>
      </c>
    </row>
    <row r="604" spans="1:3" x14ac:dyDescent="0.45">
      <c r="A604" s="1">
        <v>42607</v>
      </c>
      <c r="B604" t="s">
        <v>10</v>
      </c>
      <c r="C604" t="s">
        <v>9</v>
      </c>
    </row>
    <row r="605" spans="1:3" x14ac:dyDescent="0.45">
      <c r="A605" s="1">
        <v>42608</v>
      </c>
      <c r="B605" t="s">
        <v>10</v>
      </c>
      <c r="C605" t="s">
        <v>9</v>
      </c>
    </row>
    <row r="606" spans="1:3" x14ac:dyDescent="0.45">
      <c r="A606" s="1">
        <v>42609</v>
      </c>
      <c r="B606" t="s">
        <v>10</v>
      </c>
      <c r="C606" t="s">
        <v>9</v>
      </c>
    </row>
    <row r="607" spans="1:3" x14ac:dyDescent="0.45">
      <c r="A607" s="1">
        <v>42610</v>
      </c>
      <c r="B607" t="s">
        <v>10</v>
      </c>
      <c r="C607" t="s">
        <v>9</v>
      </c>
    </row>
    <row r="608" spans="1:3" x14ac:dyDescent="0.45">
      <c r="A608" s="1">
        <v>42611</v>
      </c>
      <c r="B608" t="s">
        <v>10</v>
      </c>
      <c r="C608" t="s">
        <v>9</v>
      </c>
    </row>
    <row r="609" spans="1:3" x14ac:dyDescent="0.45">
      <c r="A609" s="1">
        <v>42612</v>
      </c>
      <c r="B609" t="s">
        <v>10</v>
      </c>
      <c r="C609" t="s">
        <v>9</v>
      </c>
    </row>
    <row r="610" spans="1:3" x14ac:dyDescent="0.45">
      <c r="A610" s="1">
        <v>42613</v>
      </c>
      <c r="B610" t="s">
        <v>10</v>
      </c>
      <c r="C610" t="s">
        <v>9</v>
      </c>
    </row>
    <row r="611" spans="1:3" x14ac:dyDescent="0.45">
      <c r="A611" s="1">
        <v>42614</v>
      </c>
      <c r="B611" t="s">
        <v>10</v>
      </c>
      <c r="C611" t="s">
        <v>9</v>
      </c>
    </row>
    <row r="612" spans="1:3" x14ac:dyDescent="0.45">
      <c r="A612" s="1">
        <v>42615</v>
      </c>
      <c r="B612" t="s">
        <v>10</v>
      </c>
      <c r="C612" t="s">
        <v>9</v>
      </c>
    </row>
    <row r="613" spans="1:3" x14ac:dyDescent="0.45">
      <c r="A613" s="1">
        <v>42616</v>
      </c>
      <c r="B613" t="s">
        <v>10</v>
      </c>
      <c r="C613" t="s">
        <v>9</v>
      </c>
    </row>
    <row r="614" spans="1:3" x14ac:dyDescent="0.45">
      <c r="A614" s="1">
        <v>42617</v>
      </c>
      <c r="B614" t="s">
        <v>10</v>
      </c>
      <c r="C614" t="s">
        <v>9</v>
      </c>
    </row>
    <row r="615" spans="1:3" x14ac:dyDescent="0.45">
      <c r="A615" s="1">
        <v>42618</v>
      </c>
      <c r="B615" t="s">
        <v>10</v>
      </c>
      <c r="C615" t="s">
        <v>9</v>
      </c>
    </row>
    <row r="616" spans="1:3" x14ac:dyDescent="0.45">
      <c r="A616" s="1">
        <v>42619</v>
      </c>
      <c r="B616" t="s">
        <v>10</v>
      </c>
      <c r="C616" t="s">
        <v>9</v>
      </c>
    </row>
    <row r="617" spans="1:3" x14ac:dyDescent="0.45">
      <c r="A617" s="1">
        <v>42620</v>
      </c>
      <c r="B617" t="s">
        <v>10</v>
      </c>
      <c r="C617" t="s">
        <v>9</v>
      </c>
    </row>
    <row r="618" spans="1:3" x14ac:dyDescent="0.45">
      <c r="A618" s="1">
        <v>42621</v>
      </c>
      <c r="B618" t="s">
        <v>10</v>
      </c>
      <c r="C618" t="s">
        <v>9</v>
      </c>
    </row>
    <row r="619" spans="1:3" x14ac:dyDescent="0.45">
      <c r="A619" s="1">
        <v>42622</v>
      </c>
      <c r="B619" t="s">
        <v>10</v>
      </c>
      <c r="C619" t="s">
        <v>9</v>
      </c>
    </row>
    <row r="620" spans="1:3" x14ac:dyDescent="0.45">
      <c r="A620" s="1">
        <v>42623</v>
      </c>
      <c r="B620" t="s">
        <v>10</v>
      </c>
      <c r="C620" t="s">
        <v>9</v>
      </c>
    </row>
    <row r="621" spans="1:3" x14ac:dyDescent="0.45">
      <c r="A621" s="1">
        <v>42624</v>
      </c>
      <c r="B621" t="s">
        <v>10</v>
      </c>
      <c r="C621" t="s">
        <v>9</v>
      </c>
    </row>
    <row r="622" spans="1:3" x14ac:dyDescent="0.45">
      <c r="A622" s="1">
        <v>42625</v>
      </c>
      <c r="B622" t="s">
        <v>10</v>
      </c>
      <c r="C622" t="s">
        <v>9</v>
      </c>
    </row>
    <row r="623" spans="1:3" x14ac:dyDescent="0.45">
      <c r="A623" s="1">
        <v>42626</v>
      </c>
      <c r="B623" t="s">
        <v>10</v>
      </c>
      <c r="C623" t="s">
        <v>9</v>
      </c>
    </row>
    <row r="624" spans="1:3" x14ac:dyDescent="0.45">
      <c r="A624" s="1">
        <v>42627</v>
      </c>
      <c r="B624" t="s">
        <v>10</v>
      </c>
      <c r="C624" t="s">
        <v>9</v>
      </c>
    </row>
    <row r="625" spans="1:3" x14ac:dyDescent="0.45">
      <c r="A625" s="1">
        <v>42628</v>
      </c>
      <c r="B625" t="s">
        <v>10</v>
      </c>
      <c r="C625" t="s">
        <v>9</v>
      </c>
    </row>
    <row r="626" spans="1:3" x14ac:dyDescent="0.45">
      <c r="A626" s="1">
        <v>42629</v>
      </c>
      <c r="B626" t="s">
        <v>9</v>
      </c>
      <c r="C626" t="s">
        <v>9</v>
      </c>
    </row>
    <row r="627" spans="1:3" x14ac:dyDescent="0.45">
      <c r="A627" s="1">
        <v>42630</v>
      </c>
      <c r="B627" t="s">
        <v>9</v>
      </c>
      <c r="C627" t="s">
        <v>9</v>
      </c>
    </row>
    <row r="628" spans="1:3" x14ac:dyDescent="0.45">
      <c r="A628" s="1">
        <v>42631</v>
      </c>
      <c r="B628" t="s">
        <v>9</v>
      </c>
      <c r="C628" t="s">
        <v>9</v>
      </c>
    </row>
    <row r="629" spans="1:3" x14ac:dyDescent="0.45">
      <c r="A629" s="1">
        <v>42632</v>
      </c>
      <c r="B629" t="s">
        <v>9</v>
      </c>
      <c r="C629" t="s">
        <v>9</v>
      </c>
    </row>
    <row r="630" spans="1:3" x14ac:dyDescent="0.45">
      <c r="A630" s="1">
        <v>42633</v>
      </c>
      <c r="B630" t="s">
        <v>9</v>
      </c>
      <c r="C630" t="s">
        <v>9</v>
      </c>
    </row>
    <row r="631" spans="1:3" x14ac:dyDescent="0.45">
      <c r="A631" s="1">
        <v>42634</v>
      </c>
      <c r="B631" t="s">
        <v>9</v>
      </c>
      <c r="C631" t="s">
        <v>9</v>
      </c>
    </row>
    <row r="632" spans="1:3" x14ac:dyDescent="0.45">
      <c r="A632" s="1">
        <v>42635</v>
      </c>
      <c r="B632" t="s">
        <v>9</v>
      </c>
      <c r="C632" t="s">
        <v>9</v>
      </c>
    </row>
    <row r="633" spans="1:3" x14ac:dyDescent="0.45">
      <c r="A633" s="1">
        <v>42636</v>
      </c>
      <c r="B633" t="s">
        <v>9</v>
      </c>
      <c r="C633" t="s">
        <v>9</v>
      </c>
    </row>
    <row r="634" spans="1:3" x14ac:dyDescent="0.45">
      <c r="A634" s="1">
        <v>42637</v>
      </c>
      <c r="B634" t="s">
        <v>9</v>
      </c>
      <c r="C634" t="s">
        <v>9</v>
      </c>
    </row>
    <row r="635" spans="1:3" x14ac:dyDescent="0.45">
      <c r="A635" s="1">
        <v>42638</v>
      </c>
      <c r="B635" t="s">
        <v>9</v>
      </c>
      <c r="C635" t="s">
        <v>9</v>
      </c>
    </row>
    <row r="636" spans="1:3" x14ac:dyDescent="0.45">
      <c r="A636" s="1">
        <v>42639</v>
      </c>
      <c r="B636" t="s">
        <v>9</v>
      </c>
      <c r="C636" t="s">
        <v>9</v>
      </c>
    </row>
    <row r="637" spans="1:3" x14ac:dyDescent="0.45">
      <c r="A637" s="1">
        <v>42640</v>
      </c>
      <c r="B637" t="s">
        <v>9</v>
      </c>
      <c r="C637" t="s">
        <v>9</v>
      </c>
    </row>
    <row r="638" spans="1:3" x14ac:dyDescent="0.45">
      <c r="A638" s="1">
        <v>42641</v>
      </c>
      <c r="B638" t="s">
        <v>9</v>
      </c>
      <c r="C638" t="s">
        <v>9</v>
      </c>
    </row>
    <row r="639" spans="1:3" x14ac:dyDescent="0.45">
      <c r="A639" s="1">
        <v>42642</v>
      </c>
      <c r="B639" t="s">
        <v>9</v>
      </c>
      <c r="C639" t="s">
        <v>9</v>
      </c>
    </row>
    <row r="640" spans="1:3" x14ac:dyDescent="0.45">
      <c r="A640" s="1">
        <v>42643</v>
      </c>
      <c r="B640" t="s">
        <v>9</v>
      </c>
      <c r="C640" t="s">
        <v>10</v>
      </c>
    </row>
    <row r="641" spans="1:3" x14ac:dyDescent="0.45">
      <c r="A641" s="1">
        <v>42644</v>
      </c>
      <c r="B641" t="s">
        <v>9</v>
      </c>
      <c r="C641" t="s">
        <v>9</v>
      </c>
    </row>
    <row r="642" spans="1:3" x14ac:dyDescent="0.45">
      <c r="A642" s="1">
        <v>42645</v>
      </c>
      <c r="B642" t="s">
        <v>9</v>
      </c>
      <c r="C642" t="s">
        <v>9</v>
      </c>
    </row>
    <row r="643" spans="1:3" x14ac:dyDescent="0.45">
      <c r="A643" s="1">
        <v>42646</v>
      </c>
      <c r="B643" t="s">
        <v>9</v>
      </c>
      <c r="C643" t="s">
        <v>9</v>
      </c>
    </row>
    <row r="644" spans="1:3" x14ac:dyDescent="0.45">
      <c r="A644" s="1">
        <v>42647</v>
      </c>
      <c r="B644" t="s">
        <v>10</v>
      </c>
      <c r="C644" t="s">
        <v>9</v>
      </c>
    </row>
    <row r="645" spans="1:3" x14ac:dyDescent="0.45">
      <c r="A645" s="1">
        <v>42648</v>
      </c>
      <c r="B645" t="s">
        <v>10</v>
      </c>
      <c r="C645" t="s">
        <v>9</v>
      </c>
    </row>
    <row r="646" spans="1:3" x14ac:dyDescent="0.45">
      <c r="A646" s="1">
        <v>42649</v>
      </c>
      <c r="B646" t="s">
        <v>10</v>
      </c>
      <c r="C646" t="s">
        <v>9</v>
      </c>
    </row>
    <row r="647" spans="1:3" x14ac:dyDescent="0.45">
      <c r="A647" s="1">
        <v>42650</v>
      </c>
      <c r="B647" t="s">
        <v>10</v>
      </c>
      <c r="C647" t="s">
        <v>9</v>
      </c>
    </row>
    <row r="648" spans="1:3" x14ac:dyDescent="0.45">
      <c r="A648" s="1">
        <v>42651</v>
      </c>
      <c r="B648" t="s">
        <v>10</v>
      </c>
      <c r="C648" t="s">
        <v>9</v>
      </c>
    </row>
    <row r="649" spans="1:3" x14ac:dyDescent="0.45">
      <c r="A649" s="1">
        <v>42652</v>
      </c>
      <c r="B649" t="s">
        <v>10</v>
      </c>
      <c r="C649" t="s">
        <v>9</v>
      </c>
    </row>
    <row r="650" spans="1:3" x14ac:dyDescent="0.45">
      <c r="A650" s="1">
        <v>42653</v>
      </c>
      <c r="B650" t="s">
        <v>10</v>
      </c>
      <c r="C650" t="s">
        <v>9</v>
      </c>
    </row>
    <row r="651" spans="1:3" x14ac:dyDescent="0.45">
      <c r="A651" s="1">
        <v>42654</v>
      </c>
      <c r="B651" t="s">
        <v>10</v>
      </c>
      <c r="C651" t="s">
        <v>9</v>
      </c>
    </row>
    <row r="652" spans="1:3" x14ac:dyDescent="0.45">
      <c r="A652" s="1">
        <v>42655</v>
      </c>
      <c r="B652" t="s">
        <v>10</v>
      </c>
      <c r="C652" t="s">
        <v>9</v>
      </c>
    </row>
    <row r="653" spans="1:3" x14ac:dyDescent="0.45">
      <c r="A653" s="1">
        <v>42656</v>
      </c>
      <c r="B653" t="s">
        <v>10</v>
      </c>
      <c r="C653" t="s">
        <v>9</v>
      </c>
    </row>
    <row r="654" spans="1:3" x14ac:dyDescent="0.45">
      <c r="A654" s="1">
        <v>42657</v>
      </c>
      <c r="B654" t="s">
        <v>10</v>
      </c>
      <c r="C654" t="s">
        <v>9</v>
      </c>
    </row>
    <row r="655" spans="1:3" x14ac:dyDescent="0.45">
      <c r="A655" s="1">
        <v>42658</v>
      </c>
      <c r="B655" t="s">
        <v>10</v>
      </c>
      <c r="C655" t="s">
        <v>9</v>
      </c>
    </row>
    <row r="656" spans="1:3" x14ac:dyDescent="0.45">
      <c r="A656" s="1">
        <v>42659</v>
      </c>
      <c r="B656" t="s">
        <v>10</v>
      </c>
      <c r="C656" t="s">
        <v>9</v>
      </c>
    </row>
    <row r="657" spans="1:3" x14ac:dyDescent="0.45">
      <c r="A657" s="1">
        <v>42660</v>
      </c>
      <c r="B657" t="s">
        <v>10</v>
      </c>
      <c r="C657" t="s">
        <v>9</v>
      </c>
    </row>
    <row r="658" spans="1:3" x14ac:dyDescent="0.45">
      <c r="A658" s="1">
        <v>42661</v>
      </c>
      <c r="B658" t="s">
        <v>10</v>
      </c>
      <c r="C658" t="s">
        <v>9</v>
      </c>
    </row>
    <row r="659" spans="1:3" x14ac:dyDescent="0.45">
      <c r="A659" s="1">
        <v>42662</v>
      </c>
      <c r="B659" t="s">
        <v>10</v>
      </c>
      <c r="C659" t="s">
        <v>9</v>
      </c>
    </row>
    <row r="660" spans="1:3" x14ac:dyDescent="0.45">
      <c r="A660" s="1">
        <v>42663</v>
      </c>
      <c r="B660" t="s">
        <v>10</v>
      </c>
      <c r="C660" t="s">
        <v>9</v>
      </c>
    </row>
    <row r="661" spans="1:3" x14ac:dyDescent="0.45">
      <c r="A661" s="1">
        <v>42664</v>
      </c>
      <c r="B661" t="s">
        <v>10</v>
      </c>
      <c r="C661" t="s">
        <v>9</v>
      </c>
    </row>
    <row r="662" spans="1:3" x14ac:dyDescent="0.45">
      <c r="A662" s="1">
        <v>42665</v>
      </c>
      <c r="B662" t="s">
        <v>10</v>
      </c>
      <c r="C662" t="s">
        <v>9</v>
      </c>
    </row>
    <row r="663" spans="1:3" x14ac:dyDescent="0.45">
      <c r="A663" s="1">
        <v>42666</v>
      </c>
      <c r="B663" t="s">
        <v>10</v>
      </c>
      <c r="C663" t="s">
        <v>9</v>
      </c>
    </row>
    <row r="664" spans="1:3" x14ac:dyDescent="0.45">
      <c r="A664" s="1">
        <v>42667</v>
      </c>
      <c r="B664" t="s">
        <v>10</v>
      </c>
      <c r="C664" t="s">
        <v>9</v>
      </c>
    </row>
    <row r="665" spans="1:3" x14ac:dyDescent="0.45">
      <c r="A665" s="1">
        <v>42668</v>
      </c>
      <c r="B665" t="s">
        <v>10</v>
      </c>
      <c r="C665" t="s">
        <v>9</v>
      </c>
    </row>
    <row r="666" spans="1:3" x14ac:dyDescent="0.45">
      <c r="A666" s="1">
        <v>42669</v>
      </c>
      <c r="B666" t="s">
        <v>10</v>
      </c>
      <c r="C666" t="s">
        <v>9</v>
      </c>
    </row>
    <row r="667" spans="1:3" x14ac:dyDescent="0.45">
      <c r="A667" s="1">
        <v>42670</v>
      </c>
      <c r="B667" t="s">
        <v>10</v>
      </c>
      <c r="C667" t="s">
        <v>9</v>
      </c>
    </row>
    <row r="668" spans="1:3" x14ac:dyDescent="0.45">
      <c r="A668" s="1">
        <v>42671</v>
      </c>
      <c r="B668" t="s">
        <v>10</v>
      </c>
      <c r="C668" t="s">
        <v>9</v>
      </c>
    </row>
    <row r="669" spans="1:3" x14ac:dyDescent="0.45">
      <c r="A669" s="1">
        <v>42672</v>
      </c>
      <c r="B669" t="s">
        <v>10</v>
      </c>
      <c r="C669" t="s">
        <v>9</v>
      </c>
    </row>
    <row r="670" spans="1:3" x14ac:dyDescent="0.45">
      <c r="A670" s="1">
        <v>42673</v>
      </c>
      <c r="B670" t="s">
        <v>10</v>
      </c>
      <c r="C670" t="s">
        <v>9</v>
      </c>
    </row>
    <row r="671" spans="1:3" x14ac:dyDescent="0.45">
      <c r="A671" s="1">
        <v>42674</v>
      </c>
      <c r="B671" t="s">
        <v>10</v>
      </c>
      <c r="C671" t="s">
        <v>9</v>
      </c>
    </row>
    <row r="672" spans="1:3" x14ac:dyDescent="0.45">
      <c r="A672" s="1">
        <v>42675</v>
      </c>
      <c r="B672" t="s">
        <v>10</v>
      </c>
      <c r="C672" t="s">
        <v>10</v>
      </c>
    </row>
    <row r="673" spans="1:3" x14ac:dyDescent="0.45">
      <c r="A673" s="1">
        <v>42676</v>
      </c>
      <c r="B673" t="s">
        <v>10</v>
      </c>
      <c r="C673" t="s">
        <v>9</v>
      </c>
    </row>
    <row r="674" spans="1:3" x14ac:dyDescent="0.45">
      <c r="A674" s="1">
        <v>42677</v>
      </c>
      <c r="B674" t="s">
        <v>10</v>
      </c>
      <c r="C674" t="s">
        <v>9</v>
      </c>
    </row>
    <row r="675" spans="1:3" x14ac:dyDescent="0.45">
      <c r="A675" s="1">
        <v>42678</v>
      </c>
      <c r="B675" t="s">
        <v>10</v>
      </c>
      <c r="C675" t="s">
        <v>9</v>
      </c>
    </row>
    <row r="676" spans="1:3" x14ac:dyDescent="0.45">
      <c r="A676" s="1">
        <v>42679</v>
      </c>
      <c r="B676" t="s">
        <v>10</v>
      </c>
      <c r="C676" t="s">
        <v>9</v>
      </c>
    </row>
    <row r="677" spans="1:3" x14ac:dyDescent="0.45">
      <c r="A677" s="1">
        <v>42680</v>
      </c>
      <c r="B677" t="s">
        <v>10</v>
      </c>
      <c r="C677" t="s">
        <v>9</v>
      </c>
    </row>
    <row r="678" spans="1:3" x14ac:dyDescent="0.45">
      <c r="A678" s="1">
        <v>42681</v>
      </c>
      <c r="B678" t="s">
        <v>10</v>
      </c>
      <c r="C678" t="s">
        <v>9</v>
      </c>
    </row>
    <row r="679" spans="1:3" x14ac:dyDescent="0.45">
      <c r="A679" s="1">
        <v>42682</v>
      </c>
      <c r="B679" t="s">
        <v>10</v>
      </c>
      <c r="C679" t="s">
        <v>9</v>
      </c>
    </row>
    <row r="680" spans="1:3" x14ac:dyDescent="0.45">
      <c r="A680" s="1">
        <v>42683</v>
      </c>
      <c r="B680" t="s">
        <v>10</v>
      </c>
      <c r="C680" t="s">
        <v>9</v>
      </c>
    </row>
    <row r="681" spans="1:3" x14ac:dyDescent="0.45">
      <c r="A681" s="1">
        <v>42684</v>
      </c>
      <c r="B681" t="s">
        <v>10</v>
      </c>
      <c r="C681" t="s">
        <v>9</v>
      </c>
    </row>
    <row r="682" spans="1:3" x14ac:dyDescent="0.45">
      <c r="A682" s="1">
        <v>42685</v>
      </c>
      <c r="B682" t="s">
        <v>10</v>
      </c>
      <c r="C682" t="s">
        <v>9</v>
      </c>
    </row>
    <row r="683" spans="1:3" x14ac:dyDescent="0.45">
      <c r="A683" s="1">
        <v>42686</v>
      </c>
      <c r="B683" t="s">
        <v>10</v>
      </c>
      <c r="C683" t="s">
        <v>9</v>
      </c>
    </row>
    <row r="684" spans="1:3" x14ac:dyDescent="0.45">
      <c r="A684" s="1">
        <v>42687</v>
      </c>
      <c r="B684" t="s">
        <v>10</v>
      </c>
      <c r="C684" t="s">
        <v>9</v>
      </c>
    </row>
    <row r="685" spans="1:3" x14ac:dyDescent="0.45">
      <c r="A685" s="1">
        <v>42688</v>
      </c>
      <c r="B685" t="s">
        <v>10</v>
      </c>
      <c r="C685" t="s">
        <v>9</v>
      </c>
    </row>
    <row r="686" spans="1:3" x14ac:dyDescent="0.45">
      <c r="A686" s="1">
        <v>42689</v>
      </c>
      <c r="B686" t="s">
        <v>10</v>
      </c>
      <c r="C686" t="s">
        <v>9</v>
      </c>
    </row>
    <row r="687" spans="1:3" x14ac:dyDescent="0.45">
      <c r="A687" s="1">
        <v>42690</v>
      </c>
      <c r="B687" t="s">
        <v>10</v>
      </c>
      <c r="C687" t="s">
        <v>9</v>
      </c>
    </row>
    <row r="688" spans="1:3" x14ac:dyDescent="0.45">
      <c r="A688" s="1">
        <v>42691</v>
      </c>
      <c r="B688" t="s">
        <v>10</v>
      </c>
      <c r="C688" t="s">
        <v>9</v>
      </c>
    </row>
    <row r="689" spans="1:3" x14ac:dyDescent="0.45">
      <c r="A689" s="1">
        <v>42692</v>
      </c>
      <c r="B689" t="s">
        <v>10</v>
      </c>
      <c r="C689" t="s">
        <v>9</v>
      </c>
    </row>
    <row r="690" spans="1:3" x14ac:dyDescent="0.45">
      <c r="A690" s="1">
        <v>42693</v>
      </c>
      <c r="B690" t="s">
        <v>10</v>
      </c>
      <c r="C690" t="s">
        <v>9</v>
      </c>
    </row>
    <row r="691" spans="1:3" x14ac:dyDescent="0.45">
      <c r="A691" s="1">
        <v>42694</v>
      </c>
      <c r="B691" t="s">
        <v>10</v>
      </c>
      <c r="C691" t="s">
        <v>9</v>
      </c>
    </row>
    <row r="692" spans="1:3" x14ac:dyDescent="0.45">
      <c r="A692" s="1">
        <v>42695</v>
      </c>
      <c r="B692" t="s">
        <v>10</v>
      </c>
      <c r="C692" t="s">
        <v>9</v>
      </c>
    </row>
    <row r="693" spans="1:3" x14ac:dyDescent="0.45">
      <c r="A693" s="1">
        <v>42696</v>
      </c>
      <c r="B693" t="s">
        <v>10</v>
      </c>
      <c r="C693" t="s">
        <v>9</v>
      </c>
    </row>
    <row r="694" spans="1:3" x14ac:dyDescent="0.45">
      <c r="A694" s="1">
        <v>42697</v>
      </c>
      <c r="B694" t="s">
        <v>10</v>
      </c>
      <c r="C694" t="s">
        <v>9</v>
      </c>
    </row>
    <row r="695" spans="1:3" x14ac:dyDescent="0.45">
      <c r="A695" s="1">
        <v>42698</v>
      </c>
      <c r="B695" t="s">
        <v>10</v>
      </c>
      <c r="C695" t="s">
        <v>9</v>
      </c>
    </row>
    <row r="696" spans="1:3" x14ac:dyDescent="0.45">
      <c r="A696" s="1">
        <v>42699</v>
      </c>
      <c r="B696" t="s">
        <v>10</v>
      </c>
      <c r="C696" t="s">
        <v>9</v>
      </c>
    </row>
    <row r="697" spans="1:3" x14ac:dyDescent="0.45">
      <c r="A697" s="1">
        <v>42700</v>
      </c>
      <c r="B697" t="s">
        <v>10</v>
      </c>
      <c r="C697" t="s">
        <v>9</v>
      </c>
    </row>
    <row r="698" spans="1:3" x14ac:dyDescent="0.45">
      <c r="A698" s="1">
        <v>42701</v>
      </c>
      <c r="B698" t="s">
        <v>10</v>
      </c>
      <c r="C698" t="s">
        <v>9</v>
      </c>
    </row>
    <row r="699" spans="1:3" x14ac:dyDescent="0.45">
      <c r="A699" s="1">
        <v>42702</v>
      </c>
      <c r="B699" t="s">
        <v>10</v>
      </c>
      <c r="C699" t="s">
        <v>9</v>
      </c>
    </row>
    <row r="700" spans="1:3" x14ac:dyDescent="0.45">
      <c r="A700" s="1">
        <v>42703</v>
      </c>
      <c r="B700" t="s">
        <v>10</v>
      </c>
      <c r="C700" t="s">
        <v>9</v>
      </c>
    </row>
    <row r="701" spans="1:3" x14ac:dyDescent="0.45">
      <c r="A701" s="1">
        <v>42704</v>
      </c>
      <c r="B701" t="s">
        <v>10</v>
      </c>
      <c r="C701" t="s">
        <v>9</v>
      </c>
    </row>
    <row r="702" spans="1:3" x14ac:dyDescent="0.45">
      <c r="A702" s="1">
        <v>42705</v>
      </c>
      <c r="B702" t="s">
        <v>10</v>
      </c>
      <c r="C702" t="s">
        <v>9</v>
      </c>
    </row>
    <row r="703" spans="1:3" x14ac:dyDescent="0.45">
      <c r="A703" s="1">
        <v>42706</v>
      </c>
      <c r="B703" t="s">
        <v>10</v>
      </c>
      <c r="C703" t="s">
        <v>9</v>
      </c>
    </row>
    <row r="704" spans="1:3" x14ac:dyDescent="0.45">
      <c r="A704" s="1">
        <v>42707</v>
      </c>
      <c r="B704" t="s">
        <v>10</v>
      </c>
      <c r="C704" t="s">
        <v>9</v>
      </c>
    </row>
    <row r="705" spans="1:3" x14ac:dyDescent="0.45">
      <c r="A705" s="1">
        <v>42708</v>
      </c>
      <c r="B705" t="s">
        <v>10</v>
      </c>
      <c r="C705" t="s">
        <v>9</v>
      </c>
    </row>
    <row r="706" spans="1:3" x14ac:dyDescent="0.45">
      <c r="A706" s="1">
        <v>42709</v>
      </c>
      <c r="B706" t="s">
        <v>10</v>
      </c>
      <c r="C706" t="s">
        <v>9</v>
      </c>
    </row>
    <row r="707" spans="1:3" x14ac:dyDescent="0.45">
      <c r="A707" s="1">
        <v>42710</v>
      </c>
      <c r="B707" t="s">
        <v>10</v>
      </c>
      <c r="C707" t="s">
        <v>9</v>
      </c>
    </row>
    <row r="708" spans="1:3" x14ac:dyDescent="0.45">
      <c r="A708" s="1">
        <v>42711</v>
      </c>
      <c r="B708" t="s">
        <v>10</v>
      </c>
      <c r="C708" t="s">
        <v>9</v>
      </c>
    </row>
    <row r="709" spans="1:3" x14ac:dyDescent="0.45">
      <c r="A709" s="1">
        <v>42712</v>
      </c>
      <c r="B709" t="s">
        <v>10</v>
      </c>
      <c r="C709" t="s">
        <v>9</v>
      </c>
    </row>
    <row r="710" spans="1:3" x14ac:dyDescent="0.45">
      <c r="A710" s="1">
        <v>42713</v>
      </c>
      <c r="B710" t="s">
        <v>10</v>
      </c>
      <c r="C710" t="s">
        <v>9</v>
      </c>
    </row>
    <row r="711" spans="1:3" x14ac:dyDescent="0.45">
      <c r="A711" s="1">
        <v>42714</v>
      </c>
      <c r="B711" t="s">
        <v>10</v>
      </c>
      <c r="C711" t="s">
        <v>9</v>
      </c>
    </row>
    <row r="712" spans="1:3" x14ac:dyDescent="0.45">
      <c r="A712" s="1">
        <v>42715</v>
      </c>
      <c r="B712" t="s">
        <v>10</v>
      </c>
      <c r="C712" t="s">
        <v>9</v>
      </c>
    </row>
    <row r="713" spans="1:3" x14ac:dyDescent="0.45">
      <c r="A713" s="1">
        <v>42716</v>
      </c>
      <c r="B713" t="s">
        <v>10</v>
      </c>
      <c r="C713" t="s">
        <v>9</v>
      </c>
    </row>
    <row r="714" spans="1:3" x14ac:dyDescent="0.45">
      <c r="A714" s="1">
        <v>42717</v>
      </c>
      <c r="B714" t="s">
        <v>10</v>
      </c>
      <c r="C714" t="s">
        <v>9</v>
      </c>
    </row>
    <row r="715" spans="1:3" x14ac:dyDescent="0.45">
      <c r="A715" s="1">
        <v>42718</v>
      </c>
      <c r="B715" t="s">
        <v>10</v>
      </c>
      <c r="C715" t="s">
        <v>9</v>
      </c>
    </row>
    <row r="716" spans="1:3" x14ac:dyDescent="0.45">
      <c r="A716" s="1">
        <v>42719</v>
      </c>
      <c r="B716" t="s">
        <v>10</v>
      </c>
      <c r="C716" t="s">
        <v>9</v>
      </c>
    </row>
    <row r="717" spans="1:3" x14ac:dyDescent="0.45">
      <c r="A717" s="1">
        <v>42720</v>
      </c>
      <c r="B717" t="s">
        <v>10</v>
      </c>
      <c r="C717" t="s">
        <v>9</v>
      </c>
    </row>
    <row r="718" spans="1:3" x14ac:dyDescent="0.45">
      <c r="A718" s="1">
        <v>42721</v>
      </c>
      <c r="B718" t="s">
        <v>10</v>
      </c>
      <c r="C718" t="s">
        <v>9</v>
      </c>
    </row>
    <row r="719" spans="1:3" x14ac:dyDescent="0.45">
      <c r="A719" s="1">
        <v>42722</v>
      </c>
      <c r="B719" t="s">
        <v>10</v>
      </c>
      <c r="C719" t="s">
        <v>9</v>
      </c>
    </row>
    <row r="720" spans="1:3" x14ac:dyDescent="0.45">
      <c r="A720" s="1">
        <v>42723</v>
      </c>
      <c r="B720" t="s">
        <v>10</v>
      </c>
      <c r="C720" t="s">
        <v>9</v>
      </c>
    </row>
    <row r="721" spans="1:3" x14ac:dyDescent="0.45">
      <c r="A721" s="1">
        <v>42724</v>
      </c>
      <c r="B721" t="s">
        <v>9</v>
      </c>
      <c r="C721" t="s">
        <v>9</v>
      </c>
    </row>
    <row r="722" spans="1:3" x14ac:dyDescent="0.45">
      <c r="A722" s="1">
        <v>42725</v>
      </c>
      <c r="B722" t="s">
        <v>9</v>
      </c>
      <c r="C722" t="s">
        <v>9</v>
      </c>
    </row>
    <row r="723" spans="1:3" x14ac:dyDescent="0.45">
      <c r="A723" s="1">
        <v>42726</v>
      </c>
      <c r="B723" t="s">
        <v>9</v>
      </c>
      <c r="C723" t="s">
        <v>9</v>
      </c>
    </row>
    <row r="724" spans="1:3" x14ac:dyDescent="0.45">
      <c r="A724" s="1">
        <v>42727</v>
      </c>
      <c r="B724" t="s">
        <v>9</v>
      </c>
      <c r="C724" t="s">
        <v>9</v>
      </c>
    </row>
    <row r="725" spans="1:3" x14ac:dyDescent="0.45">
      <c r="A725" s="1">
        <v>42728</v>
      </c>
      <c r="B725" t="s">
        <v>9</v>
      </c>
      <c r="C725" t="s">
        <v>9</v>
      </c>
    </row>
    <row r="726" spans="1:3" x14ac:dyDescent="0.45">
      <c r="A726" s="1">
        <v>42729</v>
      </c>
      <c r="B726" t="s">
        <v>9</v>
      </c>
      <c r="C726" t="s">
        <v>9</v>
      </c>
    </row>
    <row r="727" spans="1:3" x14ac:dyDescent="0.45">
      <c r="A727" s="1">
        <v>42730</v>
      </c>
      <c r="B727" t="s">
        <v>9</v>
      </c>
      <c r="C727" t="s">
        <v>10</v>
      </c>
    </row>
    <row r="728" spans="1:3" x14ac:dyDescent="0.45">
      <c r="A728" s="1">
        <v>42731</v>
      </c>
      <c r="B728" t="s">
        <v>9</v>
      </c>
      <c r="C728" t="s">
        <v>10</v>
      </c>
    </row>
    <row r="729" spans="1:3" x14ac:dyDescent="0.45">
      <c r="A729" s="1">
        <v>42732</v>
      </c>
      <c r="B729" t="s">
        <v>9</v>
      </c>
      <c r="C729" t="s">
        <v>9</v>
      </c>
    </row>
    <row r="730" spans="1:3" x14ac:dyDescent="0.45">
      <c r="A730" s="1">
        <v>42733</v>
      </c>
      <c r="B730" t="s">
        <v>9</v>
      </c>
      <c r="C730" t="s">
        <v>9</v>
      </c>
    </row>
    <row r="731" spans="1:3" x14ac:dyDescent="0.45">
      <c r="A731" s="1">
        <v>42734</v>
      </c>
      <c r="B731" t="s">
        <v>9</v>
      </c>
      <c r="C731" t="s">
        <v>9</v>
      </c>
    </row>
    <row r="732" spans="1:3" x14ac:dyDescent="0.45">
      <c r="A732" s="1">
        <v>42735</v>
      </c>
      <c r="B732" t="s">
        <v>9</v>
      </c>
      <c r="C732" t="s">
        <v>9</v>
      </c>
    </row>
    <row r="733" spans="1:3" x14ac:dyDescent="0.45">
      <c r="A733" s="1">
        <v>42736</v>
      </c>
      <c r="B733" t="s">
        <v>9</v>
      </c>
      <c r="C733" t="s">
        <v>10</v>
      </c>
    </row>
    <row r="734" spans="1:3" x14ac:dyDescent="0.45">
      <c r="A734" s="1">
        <v>42737</v>
      </c>
      <c r="B734" t="s">
        <v>9</v>
      </c>
      <c r="C734" t="s">
        <v>10</v>
      </c>
    </row>
    <row r="735" spans="1:3" x14ac:dyDescent="0.45">
      <c r="A735" s="1">
        <v>42738</v>
      </c>
      <c r="B735" t="s">
        <v>9</v>
      </c>
      <c r="C735" t="s">
        <v>9</v>
      </c>
    </row>
    <row r="736" spans="1:3" x14ac:dyDescent="0.45">
      <c r="A736" s="1">
        <v>42739</v>
      </c>
      <c r="B736" t="s">
        <v>9</v>
      </c>
      <c r="C736" t="s">
        <v>9</v>
      </c>
    </row>
    <row r="737" spans="1:3" x14ac:dyDescent="0.45">
      <c r="A737" s="1">
        <v>42740</v>
      </c>
      <c r="B737" t="s">
        <v>9</v>
      </c>
      <c r="C737" t="s">
        <v>9</v>
      </c>
    </row>
    <row r="738" spans="1:3" x14ac:dyDescent="0.45">
      <c r="A738" s="1">
        <v>42741</v>
      </c>
      <c r="B738" t="s">
        <v>9</v>
      </c>
      <c r="C738" t="s">
        <v>9</v>
      </c>
    </row>
    <row r="739" spans="1:3" x14ac:dyDescent="0.45">
      <c r="A739" s="1">
        <v>42742</v>
      </c>
      <c r="B739" t="s">
        <v>9</v>
      </c>
      <c r="C739" t="s">
        <v>9</v>
      </c>
    </row>
    <row r="740" spans="1:3" x14ac:dyDescent="0.45">
      <c r="A740" s="1">
        <v>42743</v>
      </c>
      <c r="B740" t="s">
        <v>9</v>
      </c>
      <c r="C740" t="s">
        <v>9</v>
      </c>
    </row>
    <row r="741" spans="1:3" x14ac:dyDescent="0.45">
      <c r="A741" s="1">
        <v>42744</v>
      </c>
      <c r="B741" t="s">
        <v>9</v>
      </c>
      <c r="C741" t="s">
        <v>9</v>
      </c>
    </row>
    <row r="742" spans="1:3" x14ac:dyDescent="0.45">
      <c r="A742" s="1">
        <v>42745</v>
      </c>
      <c r="B742" t="s">
        <v>9</v>
      </c>
      <c r="C742" t="s">
        <v>9</v>
      </c>
    </row>
    <row r="743" spans="1:3" x14ac:dyDescent="0.45">
      <c r="A743" s="1">
        <v>42746</v>
      </c>
      <c r="B743" t="s">
        <v>9</v>
      </c>
      <c r="C743" t="s">
        <v>9</v>
      </c>
    </row>
    <row r="744" spans="1:3" x14ac:dyDescent="0.45">
      <c r="A744" s="1">
        <v>42747</v>
      </c>
      <c r="B744" t="s">
        <v>9</v>
      </c>
      <c r="C744" t="s">
        <v>9</v>
      </c>
    </row>
    <row r="745" spans="1:3" x14ac:dyDescent="0.45">
      <c r="A745" s="1">
        <v>42748</v>
      </c>
      <c r="B745" t="s">
        <v>9</v>
      </c>
      <c r="C745" t="s">
        <v>9</v>
      </c>
    </row>
    <row r="746" spans="1:3" x14ac:dyDescent="0.45">
      <c r="A746" s="1">
        <v>42749</v>
      </c>
      <c r="B746" t="s">
        <v>9</v>
      </c>
      <c r="C746" t="s">
        <v>9</v>
      </c>
    </row>
    <row r="747" spans="1:3" x14ac:dyDescent="0.45">
      <c r="A747" s="1">
        <v>42750</v>
      </c>
      <c r="B747" t="s">
        <v>9</v>
      </c>
      <c r="C747" t="s">
        <v>9</v>
      </c>
    </row>
    <row r="748" spans="1:3" x14ac:dyDescent="0.45">
      <c r="A748" s="1">
        <v>42751</v>
      </c>
      <c r="B748" t="s">
        <v>9</v>
      </c>
      <c r="C748" t="s">
        <v>9</v>
      </c>
    </row>
    <row r="749" spans="1:3" x14ac:dyDescent="0.45">
      <c r="A749" s="1">
        <v>42752</v>
      </c>
      <c r="B749" t="s">
        <v>9</v>
      </c>
      <c r="C749" t="s">
        <v>9</v>
      </c>
    </row>
    <row r="750" spans="1:3" x14ac:dyDescent="0.45">
      <c r="A750" s="1">
        <v>42753</v>
      </c>
      <c r="B750" t="s">
        <v>9</v>
      </c>
      <c r="C750" t="s">
        <v>9</v>
      </c>
    </row>
    <row r="751" spans="1:3" x14ac:dyDescent="0.45">
      <c r="A751" s="1">
        <v>42754</v>
      </c>
      <c r="B751" t="s">
        <v>9</v>
      </c>
      <c r="C751" t="s">
        <v>9</v>
      </c>
    </row>
    <row r="752" spans="1:3" x14ac:dyDescent="0.45">
      <c r="A752" s="1">
        <v>42755</v>
      </c>
      <c r="B752" t="s">
        <v>9</v>
      </c>
      <c r="C752" t="s">
        <v>9</v>
      </c>
    </row>
    <row r="753" spans="1:3" x14ac:dyDescent="0.45">
      <c r="A753" s="1">
        <v>42756</v>
      </c>
      <c r="B753" t="s">
        <v>9</v>
      </c>
      <c r="C753" t="s">
        <v>9</v>
      </c>
    </row>
    <row r="754" spans="1:3" x14ac:dyDescent="0.45">
      <c r="A754" s="1">
        <v>42757</v>
      </c>
      <c r="B754" t="s">
        <v>9</v>
      </c>
      <c r="C754" t="s">
        <v>9</v>
      </c>
    </row>
    <row r="755" spans="1:3" x14ac:dyDescent="0.45">
      <c r="A755" s="1">
        <v>42758</v>
      </c>
      <c r="B755" t="s">
        <v>9</v>
      </c>
      <c r="C755" t="s">
        <v>9</v>
      </c>
    </row>
    <row r="756" spans="1:3" x14ac:dyDescent="0.45">
      <c r="A756" s="1">
        <v>42759</v>
      </c>
      <c r="B756" t="s">
        <v>9</v>
      </c>
      <c r="C756" t="s">
        <v>9</v>
      </c>
    </row>
    <row r="757" spans="1:3" x14ac:dyDescent="0.45">
      <c r="A757" s="1">
        <v>42760</v>
      </c>
      <c r="B757" t="s">
        <v>9</v>
      </c>
      <c r="C757" t="s">
        <v>9</v>
      </c>
    </row>
    <row r="758" spans="1:3" x14ac:dyDescent="0.45">
      <c r="A758" s="1">
        <v>42761</v>
      </c>
      <c r="B758" t="s">
        <v>9</v>
      </c>
      <c r="C758" t="s">
        <v>10</v>
      </c>
    </row>
    <row r="759" spans="1:3" x14ac:dyDescent="0.45">
      <c r="A759" s="1">
        <v>42762</v>
      </c>
      <c r="B759" t="s">
        <v>9</v>
      </c>
      <c r="C759" t="s">
        <v>9</v>
      </c>
    </row>
    <row r="760" spans="1:3" x14ac:dyDescent="0.45">
      <c r="A760" s="1">
        <v>42763</v>
      </c>
      <c r="B760" t="s">
        <v>9</v>
      </c>
      <c r="C760" t="s">
        <v>9</v>
      </c>
    </row>
    <row r="761" spans="1:3" x14ac:dyDescent="0.45">
      <c r="A761" s="1">
        <v>42764</v>
      </c>
      <c r="B761" t="s">
        <v>9</v>
      </c>
      <c r="C761" t="s">
        <v>9</v>
      </c>
    </row>
    <row r="762" spans="1:3" x14ac:dyDescent="0.45">
      <c r="A762" s="1">
        <v>42765</v>
      </c>
      <c r="B762" t="s">
        <v>9</v>
      </c>
      <c r="C762" t="s">
        <v>9</v>
      </c>
    </row>
    <row r="763" spans="1:3" x14ac:dyDescent="0.45">
      <c r="A763" s="1">
        <v>42766</v>
      </c>
      <c r="B763" t="s">
        <v>10</v>
      </c>
      <c r="C763" t="s">
        <v>9</v>
      </c>
    </row>
    <row r="764" spans="1:3" x14ac:dyDescent="0.45">
      <c r="A764" s="1">
        <v>42767</v>
      </c>
      <c r="B764" t="s">
        <v>10</v>
      </c>
      <c r="C764" t="s">
        <v>9</v>
      </c>
    </row>
    <row r="765" spans="1:3" x14ac:dyDescent="0.45">
      <c r="A765" s="1">
        <v>42768</v>
      </c>
      <c r="B765" t="s">
        <v>10</v>
      </c>
      <c r="C765" t="s">
        <v>9</v>
      </c>
    </row>
    <row r="766" spans="1:3" x14ac:dyDescent="0.45">
      <c r="A766" s="1">
        <v>42769</v>
      </c>
      <c r="B766" t="s">
        <v>10</v>
      </c>
      <c r="C766" t="s">
        <v>9</v>
      </c>
    </row>
    <row r="767" spans="1:3" x14ac:dyDescent="0.45">
      <c r="A767" s="1">
        <v>42770</v>
      </c>
      <c r="B767" t="s">
        <v>10</v>
      </c>
      <c r="C767" t="s">
        <v>9</v>
      </c>
    </row>
    <row r="768" spans="1:3" x14ac:dyDescent="0.45">
      <c r="A768" s="1">
        <v>42771</v>
      </c>
      <c r="B768" t="s">
        <v>10</v>
      </c>
      <c r="C768" t="s">
        <v>9</v>
      </c>
    </row>
    <row r="769" spans="1:3" x14ac:dyDescent="0.45">
      <c r="A769" s="1">
        <v>42772</v>
      </c>
      <c r="B769" t="s">
        <v>10</v>
      </c>
      <c r="C769" t="s">
        <v>9</v>
      </c>
    </row>
    <row r="770" spans="1:3" x14ac:dyDescent="0.45">
      <c r="A770" s="1">
        <v>42773</v>
      </c>
      <c r="B770" t="s">
        <v>10</v>
      </c>
      <c r="C770" t="s">
        <v>9</v>
      </c>
    </row>
    <row r="771" spans="1:3" x14ac:dyDescent="0.45">
      <c r="A771" s="1">
        <v>42774</v>
      </c>
      <c r="B771" t="s">
        <v>10</v>
      </c>
      <c r="C771" t="s">
        <v>9</v>
      </c>
    </row>
    <row r="772" spans="1:3" x14ac:dyDescent="0.45">
      <c r="A772" s="1">
        <v>42775</v>
      </c>
      <c r="B772" t="s">
        <v>10</v>
      </c>
      <c r="C772" t="s">
        <v>9</v>
      </c>
    </row>
    <row r="773" spans="1:3" x14ac:dyDescent="0.45">
      <c r="A773" s="1">
        <v>42776</v>
      </c>
      <c r="B773" t="s">
        <v>10</v>
      </c>
      <c r="C773" t="s">
        <v>9</v>
      </c>
    </row>
    <row r="774" spans="1:3" x14ac:dyDescent="0.45">
      <c r="A774" s="1">
        <v>42777</v>
      </c>
      <c r="B774" t="s">
        <v>10</v>
      </c>
      <c r="C774" t="s">
        <v>9</v>
      </c>
    </row>
    <row r="775" spans="1:3" x14ac:dyDescent="0.45">
      <c r="A775" s="1">
        <v>42778</v>
      </c>
      <c r="B775" t="s">
        <v>10</v>
      </c>
      <c r="C775" t="s">
        <v>9</v>
      </c>
    </row>
    <row r="776" spans="1:3" x14ac:dyDescent="0.45">
      <c r="A776" s="1">
        <v>42779</v>
      </c>
      <c r="B776" t="s">
        <v>10</v>
      </c>
      <c r="C776" t="s">
        <v>9</v>
      </c>
    </row>
    <row r="777" spans="1:3" x14ac:dyDescent="0.45">
      <c r="A777" s="1">
        <v>42780</v>
      </c>
      <c r="B777" t="s">
        <v>10</v>
      </c>
      <c r="C777" t="s">
        <v>9</v>
      </c>
    </row>
    <row r="778" spans="1:3" x14ac:dyDescent="0.45">
      <c r="A778" s="1">
        <v>42781</v>
      </c>
      <c r="B778" t="s">
        <v>10</v>
      </c>
      <c r="C778" t="s">
        <v>9</v>
      </c>
    </row>
    <row r="779" spans="1:3" x14ac:dyDescent="0.45">
      <c r="A779" s="1">
        <v>42782</v>
      </c>
      <c r="B779" t="s">
        <v>10</v>
      </c>
      <c r="C779" t="s">
        <v>9</v>
      </c>
    </row>
    <row r="780" spans="1:3" x14ac:dyDescent="0.45">
      <c r="A780" s="1">
        <v>42783</v>
      </c>
      <c r="B780" t="s">
        <v>10</v>
      </c>
      <c r="C780" t="s">
        <v>9</v>
      </c>
    </row>
    <row r="781" spans="1:3" x14ac:dyDescent="0.45">
      <c r="A781" s="1">
        <v>42784</v>
      </c>
      <c r="B781" t="s">
        <v>10</v>
      </c>
      <c r="C781" t="s">
        <v>9</v>
      </c>
    </row>
    <row r="782" spans="1:3" x14ac:dyDescent="0.45">
      <c r="A782" s="1">
        <v>42785</v>
      </c>
      <c r="B782" t="s">
        <v>10</v>
      </c>
      <c r="C782" t="s">
        <v>9</v>
      </c>
    </row>
    <row r="783" spans="1:3" x14ac:dyDescent="0.45">
      <c r="A783" s="1">
        <v>42786</v>
      </c>
      <c r="B783" t="s">
        <v>10</v>
      </c>
      <c r="C783" t="s">
        <v>9</v>
      </c>
    </row>
    <row r="784" spans="1:3" x14ac:dyDescent="0.45">
      <c r="A784" s="1">
        <v>42787</v>
      </c>
      <c r="B784" t="s">
        <v>10</v>
      </c>
      <c r="C784" t="s">
        <v>9</v>
      </c>
    </row>
    <row r="785" spans="1:3" x14ac:dyDescent="0.45">
      <c r="A785" s="1">
        <v>42788</v>
      </c>
      <c r="B785" t="s">
        <v>10</v>
      </c>
      <c r="C785" t="s">
        <v>9</v>
      </c>
    </row>
    <row r="786" spans="1:3" x14ac:dyDescent="0.45">
      <c r="A786" s="1">
        <v>42789</v>
      </c>
      <c r="B786" t="s">
        <v>10</v>
      </c>
      <c r="C786" t="s">
        <v>9</v>
      </c>
    </row>
    <row r="787" spans="1:3" x14ac:dyDescent="0.45">
      <c r="A787" s="1">
        <v>42790</v>
      </c>
      <c r="B787" t="s">
        <v>10</v>
      </c>
      <c r="C787" t="s">
        <v>9</v>
      </c>
    </row>
    <row r="788" spans="1:3" x14ac:dyDescent="0.45">
      <c r="A788" s="1">
        <v>42791</v>
      </c>
      <c r="B788" t="s">
        <v>10</v>
      </c>
      <c r="C788" t="s">
        <v>9</v>
      </c>
    </row>
    <row r="789" spans="1:3" x14ac:dyDescent="0.45">
      <c r="A789" s="1">
        <v>42792</v>
      </c>
      <c r="B789" t="s">
        <v>10</v>
      </c>
      <c r="C789" t="s">
        <v>9</v>
      </c>
    </row>
    <row r="790" spans="1:3" x14ac:dyDescent="0.45">
      <c r="A790" s="1">
        <v>42793</v>
      </c>
      <c r="B790" t="s">
        <v>10</v>
      </c>
      <c r="C790" t="s">
        <v>9</v>
      </c>
    </row>
    <row r="791" spans="1:3" x14ac:dyDescent="0.45">
      <c r="A791" s="1">
        <v>42794</v>
      </c>
      <c r="B791" t="s">
        <v>10</v>
      </c>
      <c r="C791" t="s">
        <v>9</v>
      </c>
    </row>
    <row r="792" spans="1:3" x14ac:dyDescent="0.45">
      <c r="A792" s="1">
        <v>42795</v>
      </c>
      <c r="B792" t="s">
        <v>10</v>
      </c>
      <c r="C792" t="s">
        <v>9</v>
      </c>
    </row>
    <row r="793" spans="1:3" x14ac:dyDescent="0.45">
      <c r="A793" s="1">
        <v>42796</v>
      </c>
      <c r="B793" t="s">
        <v>10</v>
      </c>
      <c r="C793" t="s">
        <v>9</v>
      </c>
    </row>
    <row r="794" spans="1:3" x14ac:dyDescent="0.45">
      <c r="A794" s="1">
        <v>42797</v>
      </c>
      <c r="B794" t="s">
        <v>10</v>
      </c>
      <c r="C794" t="s">
        <v>9</v>
      </c>
    </row>
    <row r="795" spans="1:3" x14ac:dyDescent="0.45">
      <c r="A795" s="1">
        <v>42798</v>
      </c>
      <c r="B795" t="s">
        <v>10</v>
      </c>
      <c r="C795" t="s">
        <v>9</v>
      </c>
    </row>
    <row r="796" spans="1:3" x14ac:dyDescent="0.45">
      <c r="A796" s="1">
        <v>42799</v>
      </c>
      <c r="B796" t="s">
        <v>10</v>
      </c>
      <c r="C796" t="s">
        <v>9</v>
      </c>
    </row>
    <row r="797" spans="1:3" x14ac:dyDescent="0.45">
      <c r="A797" s="1">
        <v>42800</v>
      </c>
      <c r="B797" t="s">
        <v>10</v>
      </c>
      <c r="C797" t="s">
        <v>9</v>
      </c>
    </row>
    <row r="798" spans="1:3" x14ac:dyDescent="0.45">
      <c r="A798" s="1">
        <v>42801</v>
      </c>
      <c r="B798" t="s">
        <v>10</v>
      </c>
      <c r="C798" t="s">
        <v>9</v>
      </c>
    </row>
    <row r="799" spans="1:3" x14ac:dyDescent="0.45">
      <c r="A799" s="1">
        <v>42802</v>
      </c>
      <c r="B799" t="s">
        <v>10</v>
      </c>
      <c r="C799" t="s">
        <v>9</v>
      </c>
    </row>
    <row r="800" spans="1:3" x14ac:dyDescent="0.45">
      <c r="A800" s="1">
        <v>42803</v>
      </c>
      <c r="B800" t="s">
        <v>10</v>
      </c>
      <c r="C800" t="s">
        <v>9</v>
      </c>
    </row>
    <row r="801" spans="1:3" x14ac:dyDescent="0.45">
      <c r="A801" s="1">
        <v>42804</v>
      </c>
      <c r="B801" t="s">
        <v>10</v>
      </c>
      <c r="C801" t="s">
        <v>9</v>
      </c>
    </row>
    <row r="802" spans="1:3" x14ac:dyDescent="0.45">
      <c r="A802" s="1">
        <v>42805</v>
      </c>
      <c r="B802" t="s">
        <v>10</v>
      </c>
      <c r="C802" t="s">
        <v>9</v>
      </c>
    </row>
    <row r="803" spans="1:3" x14ac:dyDescent="0.45">
      <c r="A803" s="1">
        <v>42806</v>
      </c>
      <c r="B803" t="s">
        <v>10</v>
      </c>
      <c r="C803" t="s">
        <v>9</v>
      </c>
    </row>
    <row r="804" spans="1:3" x14ac:dyDescent="0.45">
      <c r="A804" s="1">
        <v>42807</v>
      </c>
      <c r="B804" t="s">
        <v>10</v>
      </c>
      <c r="C804" t="s">
        <v>10</v>
      </c>
    </row>
    <row r="805" spans="1:3" x14ac:dyDescent="0.45">
      <c r="A805" s="1">
        <v>42808</v>
      </c>
      <c r="B805" t="s">
        <v>10</v>
      </c>
      <c r="C805" t="s">
        <v>9</v>
      </c>
    </row>
    <row r="806" spans="1:3" x14ac:dyDescent="0.45">
      <c r="A806" s="1">
        <v>42809</v>
      </c>
      <c r="B806" t="s">
        <v>10</v>
      </c>
      <c r="C806" t="s">
        <v>9</v>
      </c>
    </row>
    <row r="807" spans="1:3" x14ac:dyDescent="0.45">
      <c r="A807" s="1">
        <v>42810</v>
      </c>
      <c r="B807" t="s">
        <v>10</v>
      </c>
      <c r="C807" t="s">
        <v>9</v>
      </c>
    </row>
    <row r="808" spans="1:3" x14ac:dyDescent="0.45">
      <c r="A808" s="1">
        <v>42811</v>
      </c>
      <c r="B808" t="s">
        <v>10</v>
      </c>
      <c r="C808" t="s">
        <v>9</v>
      </c>
    </row>
    <row r="809" spans="1:3" x14ac:dyDescent="0.45">
      <c r="A809" s="1">
        <v>42812</v>
      </c>
      <c r="B809" t="s">
        <v>10</v>
      </c>
      <c r="C809" t="s">
        <v>9</v>
      </c>
    </row>
    <row r="810" spans="1:3" x14ac:dyDescent="0.45">
      <c r="A810" s="1">
        <v>42813</v>
      </c>
      <c r="B810" t="s">
        <v>10</v>
      </c>
      <c r="C810" t="s">
        <v>9</v>
      </c>
    </row>
    <row r="811" spans="1:3" x14ac:dyDescent="0.45">
      <c r="A811" s="1">
        <v>42814</v>
      </c>
      <c r="B811" t="s">
        <v>10</v>
      </c>
      <c r="C811" t="s">
        <v>9</v>
      </c>
    </row>
    <row r="812" spans="1:3" x14ac:dyDescent="0.45">
      <c r="A812" s="1">
        <v>42815</v>
      </c>
      <c r="B812" t="s">
        <v>10</v>
      </c>
      <c r="C812" t="s">
        <v>9</v>
      </c>
    </row>
    <row r="813" spans="1:3" x14ac:dyDescent="0.45">
      <c r="A813" s="1">
        <v>42816</v>
      </c>
      <c r="B813" t="s">
        <v>10</v>
      </c>
      <c r="C813" t="s">
        <v>9</v>
      </c>
    </row>
    <row r="814" spans="1:3" x14ac:dyDescent="0.45">
      <c r="A814" s="1">
        <v>42817</v>
      </c>
      <c r="B814" t="s">
        <v>10</v>
      </c>
      <c r="C814" t="s">
        <v>9</v>
      </c>
    </row>
    <row r="815" spans="1:3" x14ac:dyDescent="0.45">
      <c r="A815" s="1">
        <v>42818</v>
      </c>
      <c r="B815" t="s">
        <v>10</v>
      </c>
      <c r="C815" t="s">
        <v>9</v>
      </c>
    </row>
    <row r="816" spans="1:3" x14ac:dyDescent="0.45">
      <c r="A816" s="1">
        <v>42819</v>
      </c>
      <c r="B816" t="s">
        <v>10</v>
      </c>
      <c r="C816" t="s">
        <v>9</v>
      </c>
    </row>
    <row r="817" spans="1:3" x14ac:dyDescent="0.45">
      <c r="A817" s="1">
        <v>42820</v>
      </c>
      <c r="B817" t="s">
        <v>10</v>
      </c>
      <c r="C817" t="s">
        <v>9</v>
      </c>
    </row>
    <row r="818" spans="1:3" x14ac:dyDescent="0.45">
      <c r="A818" s="1">
        <v>42821</v>
      </c>
      <c r="B818" t="s">
        <v>10</v>
      </c>
      <c r="C818" t="s">
        <v>9</v>
      </c>
    </row>
    <row r="819" spans="1:3" x14ac:dyDescent="0.45">
      <c r="A819" s="1">
        <v>42822</v>
      </c>
      <c r="B819" t="s">
        <v>10</v>
      </c>
      <c r="C819" t="s">
        <v>9</v>
      </c>
    </row>
    <row r="820" spans="1:3" x14ac:dyDescent="0.45">
      <c r="A820" s="1">
        <v>42823</v>
      </c>
      <c r="B820" t="s">
        <v>10</v>
      </c>
      <c r="C820" t="s">
        <v>9</v>
      </c>
    </row>
    <row r="821" spans="1:3" x14ac:dyDescent="0.45">
      <c r="A821" s="1">
        <v>42824</v>
      </c>
      <c r="B821" t="s">
        <v>10</v>
      </c>
      <c r="C821" t="s">
        <v>9</v>
      </c>
    </row>
    <row r="822" spans="1:3" x14ac:dyDescent="0.45">
      <c r="A822" s="1">
        <v>42825</v>
      </c>
      <c r="B822" t="s">
        <v>9</v>
      </c>
      <c r="C822" t="s">
        <v>9</v>
      </c>
    </row>
    <row r="823" spans="1:3" x14ac:dyDescent="0.45">
      <c r="A823" s="1">
        <v>42826</v>
      </c>
      <c r="B823" t="s">
        <v>9</v>
      </c>
      <c r="C823" t="s">
        <v>9</v>
      </c>
    </row>
    <row r="824" spans="1:3" x14ac:dyDescent="0.45">
      <c r="A824" s="1">
        <v>42827</v>
      </c>
      <c r="B824" t="s">
        <v>9</v>
      </c>
      <c r="C824" t="s">
        <v>9</v>
      </c>
    </row>
    <row r="825" spans="1:3" x14ac:dyDescent="0.45">
      <c r="A825" s="1">
        <v>42828</v>
      </c>
      <c r="B825" t="s">
        <v>9</v>
      </c>
      <c r="C825" t="s">
        <v>9</v>
      </c>
    </row>
    <row r="826" spans="1:3" x14ac:dyDescent="0.45">
      <c r="A826" s="1">
        <v>42829</v>
      </c>
      <c r="B826" t="s">
        <v>9</v>
      </c>
      <c r="C826" t="s">
        <v>9</v>
      </c>
    </row>
    <row r="827" spans="1:3" x14ac:dyDescent="0.45">
      <c r="A827" s="1">
        <v>42830</v>
      </c>
      <c r="B827" t="s">
        <v>9</v>
      </c>
      <c r="C827" t="s">
        <v>9</v>
      </c>
    </row>
    <row r="828" spans="1:3" x14ac:dyDescent="0.45">
      <c r="A828" s="1">
        <v>42831</v>
      </c>
      <c r="B828" t="s">
        <v>9</v>
      </c>
      <c r="C828" t="s">
        <v>9</v>
      </c>
    </row>
    <row r="829" spans="1:3" x14ac:dyDescent="0.45">
      <c r="A829" s="1">
        <v>42832</v>
      </c>
      <c r="B829" t="s">
        <v>9</v>
      </c>
      <c r="C829" t="s">
        <v>9</v>
      </c>
    </row>
    <row r="830" spans="1:3" x14ac:dyDescent="0.45">
      <c r="A830" s="1">
        <v>42833</v>
      </c>
      <c r="B830" t="s">
        <v>9</v>
      </c>
      <c r="C830" t="s">
        <v>9</v>
      </c>
    </row>
    <row r="831" spans="1:3" x14ac:dyDescent="0.45">
      <c r="A831" s="1">
        <v>42834</v>
      </c>
      <c r="B831" t="s">
        <v>9</v>
      </c>
      <c r="C831" t="s">
        <v>9</v>
      </c>
    </row>
    <row r="832" spans="1:3" x14ac:dyDescent="0.45">
      <c r="A832" s="1">
        <v>42835</v>
      </c>
      <c r="B832" t="s">
        <v>9</v>
      </c>
      <c r="C832" t="s">
        <v>9</v>
      </c>
    </row>
    <row r="833" spans="1:3" x14ac:dyDescent="0.45">
      <c r="A833" s="1">
        <v>42836</v>
      </c>
      <c r="B833" t="s">
        <v>9</v>
      </c>
      <c r="C833" t="s">
        <v>9</v>
      </c>
    </row>
    <row r="834" spans="1:3" x14ac:dyDescent="0.45">
      <c r="A834" s="1">
        <v>42837</v>
      </c>
      <c r="B834" t="s">
        <v>9</v>
      </c>
      <c r="C834" t="s">
        <v>9</v>
      </c>
    </row>
    <row r="835" spans="1:3" x14ac:dyDescent="0.45">
      <c r="A835" s="1">
        <v>42838</v>
      </c>
      <c r="B835" t="s">
        <v>9</v>
      </c>
      <c r="C835" t="s">
        <v>9</v>
      </c>
    </row>
    <row r="836" spans="1:3" x14ac:dyDescent="0.45">
      <c r="A836" s="1">
        <v>42839</v>
      </c>
      <c r="B836" t="s">
        <v>9</v>
      </c>
      <c r="C836" t="s">
        <v>10</v>
      </c>
    </row>
    <row r="837" spans="1:3" x14ac:dyDescent="0.45">
      <c r="A837" s="1">
        <v>42840</v>
      </c>
      <c r="B837" t="s">
        <v>9</v>
      </c>
      <c r="C837" t="s">
        <v>10</v>
      </c>
    </row>
    <row r="838" spans="1:3" x14ac:dyDescent="0.45">
      <c r="A838" s="1">
        <v>42841</v>
      </c>
      <c r="B838" t="s">
        <v>9</v>
      </c>
      <c r="C838" t="s">
        <v>10</v>
      </c>
    </row>
    <row r="839" spans="1:3" x14ac:dyDescent="0.45">
      <c r="A839" s="1">
        <v>42842</v>
      </c>
      <c r="B839" t="s">
        <v>9</v>
      </c>
      <c r="C839" t="s">
        <v>10</v>
      </c>
    </row>
    <row r="840" spans="1:3" x14ac:dyDescent="0.45">
      <c r="A840" s="1">
        <v>42843</v>
      </c>
      <c r="B840" t="s">
        <v>9</v>
      </c>
      <c r="C840" t="s">
        <v>9</v>
      </c>
    </row>
    <row r="841" spans="1:3" x14ac:dyDescent="0.45">
      <c r="A841" s="1">
        <v>42844</v>
      </c>
      <c r="B841" t="s">
        <v>10</v>
      </c>
      <c r="C841" t="s">
        <v>9</v>
      </c>
    </row>
    <row r="842" spans="1:3" x14ac:dyDescent="0.45">
      <c r="A842" s="1">
        <v>42845</v>
      </c>
      <c r="B842" t="s">
        <v>10</v>
      </c>
      <c r="C842" t="s">
        <v>9</v>
      </c>
    </row>
    <row r="843" spans="1:3" x14ac:dyDescent="0.45">
      <c r="A843" s="1">
        <v>42846</v>
      </c>
      <c r="B843" t="s">
        <v>10</v>
      </c>
      <c r="C843" t="s">
        <v>9</v>
      </c>
    </row>
    <row r="844" spans="1:3" x14ac:dyDescent="0.45">
      <c r="A844" s="1">
        <v>42847</v>
      </c>
      <c r="B844" t="s">
        <v>10</v>
      </c>
      <c r="C844" t="s">
        <v>9</v>
      </c>
    </row>
    <row r="845" spans="1:3" x14ac:dyDescent="0.45">
      <c r="A845" s="1">
        <v>42848</v>
      </c>
      <c r="B845" t="s">
        <v>10</v>
      </c>
      <c r="C845" t="s">
        <v>9</v>
      </c>
    </row>
    <row r="846" spans="1:3" x14ac:dyDescent="0.45">
      <c r="A846" s="1">
        <v>42849</v>
      </c>
      <c r="B846" t="s">
        <v>10</v>
      </c>
      <c r="C846" t="s">
        <v>9</v>
      </c>
    </row>
    <row r="847" spans="1:3" x14ac:dyDescent="0.45">
      <c r="A847" s="1">
        <v>42850</v>
      </c>
      <c r="B847" t="s">
        <v>10</v>
      </c>
      <c r="C847" t="s">
        <v>10</v>
      </c>
    </row>
    <row r="848" spans="1:3" x14ac:dyDescent="0.45">
      <c r="A848" s="1">
        <v>42851</v>
      </c>
      <c r="B848" t="s">
        <v>10</v>
      </c>
      <c r="C848" t="s">
        <v>9</v>
      </c>
    </row>
    <row r="849" spans="1:3" x14ac:dyDescent="0.45">
      <c r="A849" s="1">
        <v>42852</v>
      </c>
      <c r="B849" t="s">
        <v>10</v>
      </c>
      <c r="C849" t="s">
        <v>9</v>
      </c>
    </row>
    <row r="850" spans="1:3" x14ac:dyDescent="0.45">
      <c r="A850" s="1">
        <v>42853</v>
      </c>
      <c r="B850" t="s">
        <v>10</v>
      </c>
      <c r="C850" t="s">
        <v>9</v>
      </c>
    </row>
    <row r="851" spans="1:3" x14ac:dyDescent="0.45">
      <c r="A851" s="1">
        <v>42854</v>
      </c>
      <c r="B851" t="s">
        <v>10</v>
      </c>
      <c r="C851" t="s">
        <v>9</v>
      </c>
    </row>
    <row r="852" spans="1:3" x14ac:dyDescent="0.45">
      <c r="A852" s="1">
        <v>42855</v>
      </c>
      <c r="B852" t="s">
        <v>10</v>
      </c>
      <c r="C852" t="s">
        <v>9</v>
      </c>
    </row>
    <row r="853" spans="1:3" x14ac:dyDescent="0.45">
      <c r="A853" s="1">
        <v>42856</v>
      </c>
      <c r="B853" t="s">
        <v>10</v>
      </c>
      <c r="C853" t="s">
        <v>9</v>
      </c>
    </row>
    <row r="854" spans="1:3" x14ac:dyDescent="0.45">
      <c r="A854" s="1">
        <v>42857</v>
      </c>
      <c r="B854" t="s">
        <v>10</v>
      </c>
      <c r="C854" t="s">
        <v>9</v>
      </c>
    </row>
    <row r="855" spans="1:3" x14ac:dyDescent="0.45">
      <c r="A855" s="1">
        <v>42858</v>
      </c>
      <c r="B855" t="s">
        <v>10</v>
      </c>
      <c r="C855" t="s">
        <v>9</v>
      </c>
    </row>
    <row r="856" spans="1:3" x14ac:dyDescent="0.45">
      <c r="A856" s="1">
        <v>42859</v>
      </c>
      <c r="B856" t="s">
        <v>10</v>
      </c>
      <c r="C856" t="s">
        <v>9</v>
      </c>
    </row>
    <row r="857" spans="1:3" x14ac:dyDescent="0.45">
      <c r="A857" s="1">
        <v>42860</v>
      </c>
      <c r="B857" t="s">
        <v>10</v>
      </c>
      <c r="C857" t="s">
        <v>9</v>
      </c>
    </row>
    <row r="858" spans="1:3" x14ac:dyDescent="0.45">
      <c r="A858" s="1">
        <v>42861</v>
      </c>
      <c r="B858" t="s">
        <v>10</v>
      </c>
      <c r="C858" t="s">
        <v>9</v>
      </c>
    </row>
    <row r="859" spans="1:3" x14ac:dyDescent="0.45">
      <c r="A859" s="1">
        <v>42862</v>
      </c>
      <c r="B859" t="s">
        <v>10</v>
      </c>
      <c r="C859" t="s">
        <v>9</v>
      </c>
    </row>
    <row r="860" spans="1:3" x14ac:dyDescent="0.45">
      <c r="A860" s="1">
        <v>42863</v>
      </c>
      <c r="B860" t="s">
        <v>10</v>
      </c>
      <c r="C860" t="s">
        <v>9</v>
      </c>
    </row>
    <row r="861" spans="1:3" x14ac:dyDescent="0.45">
      <c r="A861" s="1">
        <v>42864</v>
      </c>
      <c r="B861" t="s">
        <v>10</v>
      </c>
      <c r="C861" t="s">
        <v>9</v>
      </c>
    </row>
    <row r="862" spans="1:3" x14ac:dyDescent="0.45">
      <c r="A862" s="1">
        <v>42865</v>
      </c>
      <c r="B862" t="s">
        <v>10</v>
      </c>
      <c r="C862" t="s">
        <v>9</v>
      </c>
    </row>
    <row r="863" spans="1:3" x14ac:dyDescent="0.45">
      <c r="A863" s="1">
        <v>42866</v>
      </c>
      <c r="B863" t="s">
        <v>10</v>
      </c>
      <c r="C863" t="s">
        <v>9</v>
      </c>
    </row>
    <row r="864" spans="1:3" x14ac:dyDescent="0.45">
      <c r="A864" s="1">
        <v>42867</v>
      </c>
      <c r="B864" t="s">
        <v>10</v>
      </c>
      <c r="C864" t="s">
        <v>9</v>
      </c>
    </row>
    <row r="865" spans="1:3" x14ac:dyDescent="0.45">
      <c r="A865" s="1">
        <v>42868</v>
      </c>
      <c r="B865" t="s">
        <v>10</v>
      </c>
      <c r="C865" t="s">
        <v>9</v>
      </c>
    </row>
    <row r="866" spans="1:3" x14ac:dyDescent="0.45">
      <c r="A866" s="1">
        <v>42869</v>
      </c>
      <c r="B866" t="s">
        <v>10</v>
      </c>
      <c r="C866" t="s">
        <v>9</v>
      </c>
    </row>
    <row r="867" spans="1:3" x14ac:dyDescent="0.45">
      <c r="A867" s="1">
        <v>42870</v>
      </c>
      <c r="B867" t="s">
        <v>10</v>
      </c>
      <c r="C867" t="s">
        <v>9</v>
      </c>
    </row>
    <row r="868" spans="1:3" x14ac:dyDescent="0.45">
      <c r="A868" s="1">
        <v>42871</v>
      </c>
      <c r="B868" t="s">
        <v>10</v>
      </c>
      <c r="C868" t="s">
        <v>9</v>
      </c>
    </row>
    <row r="869" spans="1:3" x14ac:dyDescent="0.45">
      <c r="A869" s="1">
        <v>42872</v>
      </c>
      <c r="B869" t="s">
        <v>10</v>
      </c>
      <c r="C869" t="s">
        <v>9</v>
      </c>
    </row>
    <row r="870" spans="1:3" x14ac:dyDescent="0.45">
      <c r="A870" s="1">
        <v>42873</v>
      </c>
      <c r="B870" t="s">
        <v>10</v>
      </c>
      <c r="C870" t="s">
        <v>9</v>
      </c>
    </row>
    <row r="871" spans="1:3" x14ac:dyDescent="0.45">
      <c r="A871" s="1">
        <v>42874</v>
      </c>
      <c r="B871" t="s">
        <v>10</v>
      </c>
      <c r="C871" t="s">
        <v>9</v>
      </c>
    </row>
    <row r="872" spans="1:3" x14ac:dyDescent="0.45">
      <c r="A872" s="1">
        <v>42875</v>
      </c>
      <c r="B872" t="s">
        <v>10</v>
      </c>
      <c r="C872" t="s">
        <v>9</v>
      </c>
    </row>
    <row r="873" spans="1:3" x14ac:dyDescent="0.45">
      <c r="A873" s="1">
        <v>42876</v>
      </c>
      <c r="B873" t="s">
        <v>10</v>
      </c>
      <c r="C873" t="s">
        <v>9</v>
      </c>
    </row>
    <row r="874" spans="1:3" x14ac:dyDescent="0.45">
      <c r="A874" s="1">
        <v>42877</v>
      </c>
      <c r="B874" t="s">
        <v>10</v>
      </c>
      <c r="C874" t="s">
        <v>9</v>
      </c>
    </row>
    <row r="875" spans="1:3" x14ac:dyDescent="0.45">
      <c r="A875" s="1">
        <v>42878</v>
      </c>
      <c r="B875" t="s">
        <v>10</v>
      </c>
      <c r="C875" t="s">
        <v>9</v>
      </c>
    </row>
    <row r="876" spans="1:3" x14ac:dyDescent="0.45">
      <c r="A876" s="1">
        <v>42879</v>
      </c>
      <c r="B876" t="s">
        <v>10</v>
      </c>
      <c r="C876" t="s">
        <v>9</v>
      </c>
    </row>
    <row r="877" spans="1:3" x14ac:dyDescent="0.45">
      <c r="A877" s="1">
        <v>42880</v>
      </c>
      <c r="B877" t="s">
        <v>10</v>
      </c>
      <c r="C877" t="s">
        <v>9</v>
      </c>
    </row>
    <row r="878" spans="1:3" x14ac:dyDescent="0.45">
      <c r="A878" s="1">
        <v>42881</v>
      </c>
      <c r="B878" t="s">
        <v>10</v>
      </c>
      <c r="C878" t="s">
        <v>9</v>
      </c>
    </row>
    <row r="879" spans="1:3" x14ac:dyDescent="0.45">
      <c r="A879" s="1">
        <v>42882</v>
      </c>
      <c r="B879" t="s">
        <v>10</v>
      </c>
      <c r="C879" t="s">
        <v>9</v>
      </c>
    </row>
    <row r="880" spans="1:3" x14ac:dyDescent="0.45">
      <c r="A880" s="1">
        <v>42883</v>
      </c>
      <c r="B880" t="s">
        <v>10</v>
      </c>
      <c r="C880" t="s">
        <v>9</v>
      </c>
    </row>
    <row r="881" spans="1:3" x14ac:dyDescent="0.45">
      <c r="A881" s="1">
        <v>42884</v>
      </c>
      <c r="B881" t="s">
        <v>10</v>
      </c>
      <c r="C881" t="s">
        <v>9</v>
      </c>
    </row>
    <row r="882" spans="1:3" x14ac:dyDescent="0.45">
      <c r="A882" s="1">
        <v>42885</v>
      </c>
      <c r="B882" t="s">
        <v>10</v>
      </c>
      <c r="C882" t="s">
        <v>9</v>
      </c>
    </row>
    <row r="883" spans="1:3" x14ac:dyDescent="0.45">
      <c r="A883" s="1">
        <v>42886</v>
      </c>
      <c r="B883" t="s">
        <v>10</v>
      </c>
      <c r="C883" t="s">
        <v>9</v>
      </c>
    </row>
    <row r="884" spans="1:3" x14ac:dyDescent="0.45">
      <c r="A884" s="1">
        <v>42887</v>
      </c>
      <c r="B884" t="s">
        <v>10</v>
      </c>
      <c r="C884" t="s">
        <v>9</v>
      </c>
    </row>
    <row r="885" spans="1:3" x14ac:dyDescent="0.45">
      <c r="A885" s="1">
        <v>42888</v>
      </c>
      <c r="B885" t="s">
        <v>10</v>
      </c>
      <c r="C885" t="s">
        <v>9</v>
      </c>
    </row>
    <row r="886" spans="1:3" x14ac:dyDescent="0.45">
      <c r="A886" s="1">
        <v>42889</v>
      </c>
      <c r="B886" t="s">
        <v>10</v>
      </c>
      <c r="C886" t="s">
        <v>9</v>
      </c>
    </row>
    <row r="887" spans="1:3" x14ac:dyDescent="0.45">
      <c r="A887" s="1">
        <v>42890</v>
      </c>
      <c r="B887" t="s">
        <v>10</v>
      </c>
      <c r="C887" t="s">
        <v>9</v>
      </c>
    </row>
    <row r="888" spans="1:3" x14ac:dyDescent="0.45">
      <c r="A888" s="1">
        <v>42891</v>
      </c>
      <c r="B888" t="s">
        <v>10</v>
      </c>
      <c r="C888" t="s">
        <v>9</v>
      </c>
    </row>
    <row r="889" spans="1:3" x14ac:dyDescent="0.45">
      <c r="A889" s="1">
        <v>42892</v>
      </c>
      <c r="B889" t="s">
        <v>10</v>
      </c>
      <c r="C889" t="s">
        <v>9</v>
      </c>
    </row>
    <row r="890" spans="1:3" x14ac:dyDescent="0.45">
      <c r="A890" s="1">
        <v>42893</v>
      </c>
      <c r="B890" t="s">
        <v>10</v>
      </c>
      <c r="C890" t="s">
        <v>9</v>
      </c>
    </row>
    <row r="891" spans="1:3" x14ac:dyDescent="0.45">
      <c r="A891" s="1">
        <v>42894</v>
      </c>
      <c r="B891" t="s">
        <v>10</v>
      </c>
      <c r="C891" t="s">
        <v>9</v>
      </c>
    </row>
    <row r="892" spans="1:3" x14ac:dyDescent="0.45">
      <c r="A892" s="1">
        <v>42895</v>
      </c>
      <c r="B892" t="s">
        <v>10</v>
      </c>
      <c r="C892" t="s">
        <v>9</v>
      </c>
    </row>
    <row r="893" spans="1:3" x14ac:dyDescent="0.45">
      <c r="A893" s="1">
        <v>42896</v>
      </c>
      <c r="B893" t="s">
        <v>10</v>
      </c>
      <c r="C893" t="s">
        <v>9</v>
      </c>
    </row>
    <row r="894" spans="1:3" x14ac:dyDescent="0.45">
      <c r="A894" s="1">
        <v>42897</v>
      </c>
      <c r="B894" t="s">
        <v>10</v>
      </c>
      <c r="C894" t="s">
        <v>9</v>
      </c>
    </row>
    <row r="895" spans="1:3" x14ac:dyDescent="0.45">
      <c r="A895" s="1">
        <v>42898</v>
      </c>
      <c r="B895" t="s">
        <v>10</v>
      </c>
      <c r="C895" t="s">
        <v>10</v>
      </c>
    </row>
    <row r="896" spans="1:3" x14ac:dyDescent="0.45">
      <c r="A896" s="1">
        <v>42899</v>
      </c>
      <c r="B896" t="s">
        <v>10</v>
      </c>
      <c r="C896" t="s">
        <v>9</v>
      </c>
    </row>
    <row r="897" spans="1:3" x14ac:dyDescent="0.45">
      <c r="A897" s="1">
        <v>42900</v>
      </c>
      <c r="B897" t="s">
        <v>10</v>
      </c>
      <c r="C897" t="s">
        <v>9</v>
      </c>
    </row>
    <row r="898" spans="1:3" x14ac:dyDescent="0.45">
      <c r="A898" s="1">
        <v>42901</v>
      </c>
      <c r="B898" t="s">
        <v>10</v>
      </c>
      <c r="C898" t="s">
        <v>9</v>
      </c>
    </row>
    <row r="899" spans="1:3" x14ac:dyDescent="0.45">
      <c r="A899" s="1">
        <v>42902</v>
      </c>
      <c r="B899" t="s">
        <v>10</v>
      </c>
      <c r="C899" t="s">
        <v>9</v>
      </c>
    </row>
    <row r="900" spans="1:3" x14ac:dyDescent="0.45">
      <c r="A900" s="1">
        <v>42903</v>
      </c>
      <c r="B900" t="s">
        <v>10</v>
      </c>
      <c r="C900" t="s">
        <v>9</v>
      </c>
    </row>
    <row r="901" spans="1:3" x14ac:dyDescent="0.45">
      <c r="A901" s="1">
        <v>42904</v>
      </c>
      <c r="B901" t="s">
        <v>10</v>
      </c>
      <c r="C901" t="s">
        <v>9</v>
      </c>
    </row>
    <row r="902" spans="1:3" x14ac:dyDescent="0.45">
      <c r="A902" s="1">
        <v>42905</v>
      </c>
      <c r="B902" t="s">
        <v>10</v>
      </c>
      <c r="C902" t="s">
        <v>9</v>
      </c>
    </row>
    <row r="903" spans="1:3" x14ac:dyDescent="0.45">
      <c r="A903" s="1">
        <v>42906</v>
      </c>
      <c r="B903" t="s">
        <v>10</v>
      </c>
      <c r="C903" t="s">
        <v>9</v>
      </c>
    </row>
    <row r="904" spans="1:3" x14ac:dyDescent="0.45">
      <c r="A904" s="1">
        <v>42907</v>
      </c>
      <c r="B904" t="s">
        <v>10</v>
      </c>
      <c r="C904" t="s">
        <v>9</v>
      </c>
    </row>
    <row r="905" spans="1:3" x14ac:dyDescent="0.45">
      <c r="A905" s="1">
        <v>42908</v>
      </c>
      <c r="B905" t="s">
        <v>10</v>
      </c>
      <c r="C905" t="s">
        <v>9</v>
      </c>
    </row>
    <row r="906" spans="1:3" x14ac:dyDescent="0.45">
      <c r="A906" s="1">
        <v>42909</v>
      </c>
      <c r="B906" t="s">
        <v>10</v>
      </c>
      <c r="C906" t="s">
        <v>9</v>
      </c>
    </row>
    <row r="907" spans="1:3" x14ac:dyDescent="0.45">
      <c r="A907" s="1">
        <v>42910</v>
      </c>
      <c r="B907" t="s">
        <v>10</v>
      </c>
      <c r="C907" t="s">
        <v>9</v>
      </c>
    </row>
    <row r="908" spans="1:3" x14ac:dyDescent="0.45">
      <c r="A908" s="1">
        <v>42911</v>
      </c>
      <c r="B908" t="s">
        <v>10</v>
      </c>
      <c r="C908" t="s">
        <v>9</v>
      </c>
    </row>
    <row r="909" spans="1:3" x14ac:dyDescent="0.45">
      <c r="A909" s="1">
        <v>42912</v>
      </c>
      <c r="B909" t="s">
        <v>10</v>
      </c>
      <c r="C909" t="s">
        <v>9</v>
      </c>
    </row>
    <row r="910" spans="1:3" x14ac:dyDescent="0.45">
      <c r="A910" s="1">
        <v>42913</v>
      </c>
      <c r="B910" t="s">
        <v>10</v>
      </c>
      <c r="C910" t="s">
        <v>9</v>
      </c>
    </row>
    <row r="911" spans="1:3" x14ac:dyDescent="0.45">
      <c r="A911" s="1">
        <v>42914</v>
      </c>
      <c r="B911" t="s">
        <v>10</v>
      </c>
      <c r="C911" t="s">
        <v>9</v>
      </c>
    </row>
    <row r="912" spans="1:3" x14ac:dyDescent="0.45">
      <c r="A912" s="1">
        <v>42915</v>
      </c>
      <c r="B912" t="s">
        <v>10</v>
      </c>
      <c r="C912" t="s">
        <v>9</v>
      </c>
    </row>
    <row r="913" spans="1:3" x14ac:dyDescent="0.45">
      <c r="A913" s="1">
        <v>42916</v>
      </c>
      <c r="B913" t="s">
        <v>9</v>
      </c>
      <c r="C913" t="s">
        <v>9</v>
      </c>
    </row>
    <row r="914" spans="1:3" x14ac:dyDescent="0.45">
      <c r="A914" s="1">
        <v>42917</v>
      </c>
      <c r="B914" t="s">
        <v>9</v>
      </c>
      <c r="C914" t="s">
        <v>9</v>
      </c>
    </row>
    <row r="915" spans="1:3" x14ac:dyDescent="0.45">
      <c r="A915" s="1">
        <v>42918</v>
      </c>
      <c r="B915" t="s">
        <v>9</v>
      </c>
      <c r="C915" t="s">
        <v>9</v>
      </c>
    </row>
    <row r="916" spans="1:3" x14ac:dyDescent="0.45">
      <c r="A916" s="1">
        <v>42919</v>
      </c>
      <c r="B916" t="s">
        <v>9</v>
      </c>
      <c r="C916" t="s">
        <v>9</v>
      </c>
    </row>
    <row r="917" spans="1:3" x14ac:dyDescent="0.45">
      <c r="A917" s="1">
        <v>42920</v>
      </c>
      <c r="B917" t="s">
        <v>9</v>
      </c>
      <c r="C917" t="s">
        <v>9</v>
      </c>
    </row>
    <row r="918" spans="1:3" x14ac:dyDescent="0.45">
      <c r="A918" s="1">
        <v>42921</v>
      </c>
      <c r="B918" t="s">
        <v>9</v>
      </c>
      <c r="C918" t="s">
        <v>9</v>
      </c>
    </row>
    <row r="919" spans="1:3" x14ac:dyDescent="0.45">
      <c r="A919" s="1">
        <v>42922</v>
      </c>
      <c r="B919" t="s">
        <v>9</v>
      </c>
      <c r="C919" t="s">
        <v>9</v>
      </c>
    </row>
    <row r="920" spans="1:3" x14ac:dyDescent="0.45">
      <c r="A920" s="1">
        <v>42923</v>
      </c>
      <c r="B920" t="s">
        <v>9</v>
      </c>
      <c r="C920" t="s">
        <v>9</v>
      </c>
    </row>
    <row r="921" spans="1:3" x14ac:dyDescent="0.45">
      <c r="A921" s="1">
        <v>42924</v>
      </c>
      <c r="B921" t="s">
        <v>9</v>
      </c>
      <c r="C921" t="s">
        <v>9</v>
      </c>
    </row>
    <row r="922" spans="1:3" x14ac:dyDescent="0.45">
      <c r="A922" s="1">
        <v>42925</v>
      </c>
      <c r="B922" t="s">
        <v>9</v>
      </c>
      <c r="C922" t="s">
        <v>9</v>
      </c>
    </row>
    <row r="923" spans="1:3" x14ac:dyDescent="0.45">
      <c r="A923" s="1">
        <v>42926</v>
      </c>
      <c r="B923" t="s">
        <v>9</v>
      </c>
      <c r="C923" t="s">
        <v>9</v>
      </c>
    </row>
    <row r="924" spans="1:3" x14ac:dyDescent="0.45">
      <c r="A924" s="1">
        <v>42927</v>
      </c>
      <c r="B924" t="s">
        <v>9</v>
      </c>
      <c r="C924" t="s">
        <v>9</v>
      </c>
    </row>
    <row r="925" spans="1:3" x14ac:dyDescent="0.45">
      <c r="A925" s="1">
        <v>42928</v>
      </c>
      <c r="B925" t="s">
        <v>9</v>
      </c>
      <c r="C925" t="s">
        <v>9</v>
      </c>
    </row>
    <row r="926" spans="1:3" x14ac:dyDescent="0.45">
      <c r="A926" s="1">
        <v>42929</v>
      </c>
      <c r="B926" t="s">
        <v>9</v>
      </c>
      <c r="C926" t="s">
        <v>9</v>
      </c>
    </row>
    <row r="927" spans="1:3" x14ac:dyDescent="0.45">
      <c r="A927" s="1">
        <v>42930</v>
      </c>
      <c r="B927" t="s">
        <v>9</v>
      </c>
      <c r="C927" t="s">
        <v>9</v>
      </c>
    </row>
    <row r="928" spans="1:3" x14ac:dyDescent="0.45">
      <c r="A928" s="1">
        <v>42931</v>
      </c>
      <c r="B928" t="s">
        <v>9</v>
      </c>
      <c r="C928" t="s">
        <v>9</v>
      </c>
    </row>
    <row r="929" spans="1:3" x14ac:dyDescent="0.45">
      <c r="A929" s="1">
        <v>42932</v>
      </c>
      <c r="B929" t="s">
        <v>9</v>
      </c>
      <c r="C929" t="s">
        <v>9</v>
      </c>
    </row>
    <row r="930" spans="1:3" x14ac:dyDescent="0.45">
      <c r="A930" s="1">
        <v>42933</v>
      </c>
      <c r="B930" t="s">
        <v>9</v>
      </c>
      <c r="C930" t="s">
        <v>9</v>
      </c>
    </row>
    <row r="931" spans="1:3" x14ac:dyDescent="0.45">
      <c r="A931" s="1">
        <v>42934</v>
      </c>
      <c r="B931" t="s">
        <v>10</v>
      </c>
      <c r="C931" t="s">
        <v>9</v>
      </c>
    </row>
    <row r="932" spans="1:3" x14ac:dyDescent="0.45">
      <c r="A932" s="1">
        <v>42935</v>
      </c>
      <c r="B932" t="s">
        <v>10</v>
      </c>
      <c r="C932" t="s">
        <v>9</v>
      </c>
    </row>
    <row r="933" spans="1:3" x14ac:dyDescent="0.45">
      <c r="A933" s="1">
        <v>42936</v>
      </c>
      <c r="B933" t="s">
        <v>10</v>
      </c>
      <c r="C933" t="s">
        <v>9</v>
      </c>
    </row>
    <row r="934" spans="1:3" x14ac:dyDescent="0.45">
      <c r="A934" s="1">
        <v>42937</v>
      </c>
      <c r="B934" t="s">
        <v>10</v>
      </c>
      <c r="C934" t="s">
        <v>9</v>
      </c>
    </row>
    <row r="935" spans="1:3" x14ac:dyDescent="0.45">
      <c r="A935" s="1">
        <v>42938</v>
      </c>
      <c r="B935" t="s">
        <v>10</v>
      </c>
      <c r="C935" t="s">
        <v>9</v>
      </c>
    </row>
    <row r="936" spans="1:3" x14ac:dyDescent="0.45">
      <c r="A936" s="1">
        <v>42939</v>
      </c>
      <c r="B936" t="s">
        <v>10</v>
      </c>
      <c r="C936" t="s">
        <v>9</v>
      </c>
    </row>
    <row r="937" spans="1:3" x14ac:dyDescent="0.45">
      <c r="A937" s="1">
        <v>42940</v>
      </c>
      <c r="B937" t="s">
        <v>10</v>
      </c>
      <c r="C937" t="s">
        <v>9</v>
      </c>
    </row>
    <row r="938" spans="1:3" x14ac:dyDescent="0.45">
      <c r="A938" s="1">
        <v>42941</v>
      </c>
      <c r="B938" t="s">
        <v>10</v>
      </c>
      <c r="C938" t="s">
        <v>9</v>
      </c>
    </row>
    <row r="939" spans="1:3" x14ac:dyDescent="0.45">
      <c r="A939" s="1">
        <v>42942</v>
      </c>
      <c r="B939" t="s">
        <v>10</v>
      </c>
      <c r="C939" t="s">
        <v>9</v>
      </c>
    </row>
    <row r="940" spans="1:3" x14ac:dyDescent="0.45">
      <c r="A940" s="1">
        <v>42943</v>
      </c>
      <c r="B940" t="s">
        <v>10</v>
      </c>
      <c r="C940" t="s">
        <v>9</v>
      </c>
    </row>
    <row r="941" spans="1:3" x14ac:dyDescent="0.45">
      <c r="A941" s="1">
        <v>42944</v>
      </c>
      <c r="B941" t="s">
        <v>10</v>
      </c>
      <c r="C941" t="s">
        <v>9</v>
      </c>
    </row>
    <row r="942" spans="1:3" x14ac:dyDescent="0.45">
      <c r="A942" s="1">
        <v>42945</v>
      </c>
      <c r="B942" t="s">
        <v>10</v>
      </c>
      <c r="C942" t="s">
        <v>9</v>
      </c>
    </row>
    <row r="943" spans="1:3" x14ac:dyDescent="0.45">
      <c r="A943" s="1">
        <v>42946</v>
      </c>
      <c r="B943" t="s">
        <v>10</v>
      </c>
      <c r="C943" t="s">
        <v>9</v>
      </c>
    </row>
    <row r="944" spans="1:3" x14ac:dyDescent="0.45">
      <c r="A944" s="1">
        <v>42947</v>
      </c>
      <c r="B944" t="s">
        <v>10</v>
      </c>
      <c r="C944" t="s">
        <v>9</v>
      </c>
    </row>
    <row r="945" spans="1:3" x14ac:dyDescent="0.45">
      <c r="A945" s="1">
        <v>42948</v>
      </c>
      <c r="B945" t="s">
        <v>10</v>
      </c>
      <c r="C945" t="s">
        <v>9</v>
      </c>
    </row>
    <row r="946" spans="1:3" x14ac:dyDescent="0.45">
      <c r="A946" s="1">
        <v>42949</v>
      </c>
      <c r="B946" t="s">
        <v>10</v>
      </c>
      <c r="C946" t="s">
        <v>9</v>
      </c>
    </row>
    <row r="947" spans="1:3" x14ac:dyDescent="0.45">
      <c r="A947" s="1">
        <v>42950</v>
      </c>
      <c r="B947" t="s">
        <v>10</v>
      </c>
      <c r="C947" t="s">
        <v>9</v>
      </c>
    </row>
    <row r="948" spans="1:3" x14ac:dyDescent="0.45">
      <c r="A948" s="1">
        <v>42951</v>
      </c>
      <c r="B948" t="s">
        <v>10</v>
      </c>
      <c r="C948" t="s">
        <v>9</v>
      </c>
    </row>
    <row r="949" spans="1:3" x14ac:dyDescent="0.45">
      <c r="A949" s="1">
        <v>42952</v>
      </c>
      <c r="B949" t="s">
        <v>10</v>
      </c>
      <c r="C949" t="s">
        <v>9</v>
      </c>
    </row>
    <row r="950" spans="1:3" x14ac:dyDescent="0.45">
      <c r="A950" s="1">
        <v>42953</v>
      </c>
      <c r="B950" t="s">
        <v>10</v>
      </c>
      <c r="C950" t="s">
        <v>9</v>
      </c>
    </row>
    <row r="951" spans="1:3" x14ac:dyDescent="0.45">
      <c r="A951" s="1">
        <v>42954</v>
      </c>
      <c r="B951" t="s">
        <v>10</v>
      </c>
      <c r="C951" t="s">
        <v>9</v>
      </c>
    </row>
    <row r="952" spans="1:3" x14ac:dyDescent="0.45">
      <c r="A952" s="1">
        <v>42955</v>
      </c>
      <c r="B952" t="s">
        <v>10</v>
      </c>
      <c r="C952" t="s">
        <v>9</v>
      </c>
    </row>
    <row r="953" spans="1:3" x14ac:dyDescent="0.45">
      <c r="A953" s="1">
        <v>42956</v>
      </c>
      <c r="B953" t="s">
        <v>10</v>
      </c>
      <c r="C953" t="s">
        <v>9</v>
      </c>
    </row>
    <row r="954" spans="1:3" x14ac:dyDescent="0.45">
      <c r="A954" s="1">
        <v>42957</v>
      </c>
      <c r="B954" t="s">
        <v>10</v>
      </c>
      <c r="C954" t="s">
        <v>9</v>
      </c>
    </row>
    <row r="955" spans="1:3" x14ac:dyDescent="0.45">
      <c r="A955" s="1">
        <v>42958</v>
      </c>
      <c r="B955" t="s">
        <v>10</v>
      </c>
      <c r="C955" t="s">
        <v>9</v>
      </c>
    </row>
    <row r="956" spans="1:3" x14ac:dyDescent="0.45">
      <c r="A956" s="1">
        <v>42959</v>
      </c>
      <c r="B956" t="s">
        <v>10</v>
      </c>
      <c r="C956" t="s">
        <v>9</v>
      </c>
    </row>
    <row r="957" spans="1:3" x14ac:dyDescent="0.45">
      <c r="A957" s="1">
        <v>42960</v>
      </c>
      <c r="B957" t="s">
        <v>10</v>
      </c>
      <c r="C957" t="s">
        <v>9</v>
      </c>
    </row>
    <row r="958" spans="1:3" x14ac:dyDescent="0.45">
      <c r="A958" s="1">
        <v>42961</v>
      </c>
      <c r="B958" t="s">
        <v>10</v>
      </c>
      <c r="C958" t="s">
        <v>9</v>
      </c>
    </row>
    <row r="959" spans="1:3" x14ac:dyDescent="0.45">
      <c r="A959" s="1">
        <v>42962</v>
      </c>
      <c r="B959" t="s">
        <v>10</v>
      </c>
      <c r="C959" t="s">
        <v>9</v>
      </c>
    </row>
    <row r="960" spans="1:3" x14ac:dyDescent="0.45">
      <c r="A960" s="1">
        <v>42963</v>
      </c>
      <c r="B960" t="s">
        <v>10</v>
      </c>
      <c r="C960" t="s">
        <v>9</v>
      </c>
    </row>
    <row r="961" spans="1:3" x14ac:dyDescent="0.45">
      <c r="A961" s="1">
        <v>42964</v>
      </c>
      <c r="B961" t="s">
        <v>10</v>
      </c>
      <c r="C961" t="s">
        <v>9</v>
      </c>
    </row>
    <row r="962" spans="1:3" x14ac:dyDescent="0.45">
      <c r="A962" s="1">
        <v>42965</v>
      </c>
      <c r="B962" t="s">
        <v>10</v>
      </c>
      <c r="C962" t="s">
        <v>9</v>
      </c>
    </row>
    <row r="963" spans="1:3" x14ac:dyDescent="0.45">
      <c r="A963" s="1">
        <v>42966</v>
      </c>
      <c r="B963" t="s">
        <v>10</v>
      </c>
      <c r="C963" t="s">
        <v>9</v>
      </c>
    </row>
    <row r="964" spans="1:3" x14ac:dyDescent="0.45">
      <c r="A964" s="1">
        <v>42967</v>
      </c>
      <c r="B964" t="s">
        <v>10</v>
      </c>
      <c r="C964" t="s">
        <v>9</v>
      </c>
    </row>
    <row r="965" spans="1:3" x14ac:dyDescent="0.45">
      <c r="A965" s="1">
        <v>42968</v>
      </c>
      <c r="B965" t="s">
        <v>10</v>
      </c>
      <c r="C965" t="s">
        <v>9</v>
      </c>
    </row>
    <row r="966" spans="1:3" x14ac:dyDescent="0.45">
      <c r="A966" s="1">
        <v>42969</v>
      </c>
      <c r="B966" t="s">
        <v>10</v>
      </c>
      <c r="C966" t="s">
        <v>9</v>
      </c>
    </row>
    <row r="967" spans="1:3" x14ac:dyDescent="0.45">
      <c r="A967" s="1">
        <v>42970</v>
      </c>
      <c r="B967" t="s">
        <v>10</v>
      </c>
      <c r="C967" t="s">
        <v>9</v>
      </c>
    </row>
    <row r="968" spans="1:3" x14ac:dyDescent="0.45">
      <c r="A968" s="1">
        <v>42971</v>
      </c>
      <c r="B968" t="s">
        <v>10</v>
      </c>
      <c r="C968" t="s">
        <v>9</v>
      </c>
    </row>
    <row r="969" spans="1:3" x14ac:dyDescent="0.45">
      <c r="A969" s="1">
        <v>42972</v>
      </c>
      <c r="B969" t="s">
        <v>10</v>
      </c>
      <c r="C969" t="s">
        <v>9</v>
      </c>
    </row>
    <row r="970" spans="1:3" x14ac:dyDescent="0.45">
      <c r="A970" s="1">
        <v>42973</v>
      </c>
      <c r="B970" t="s">
        <v>10</v>
      </c>
      <c r="C970" t="s">
        <v>9</v>
      </c>
    </row>
    <row r="971" spans="1:3" x14ac:dyDescent="0.45">
      <c r="A971" s="1">
        <v>42974</v>
      </c>
      <c r="B971" t="s">
        <v>10</v>
      </c>
      <c r="C971" t="s">
        <v>9</v>
      </c>
    </row>
    <row r="972" spans="1:3" x14ac:dyDescent="0.45">
      <c r="A972" s="1">
        <v>42975</v>
      </c>
      <c r="B972" t="s">
        <v>10</v>
      </c>
      <c r="C972" t="s">
        <v>9</v>
      </c>
    </row>
    <row r="973" spans="1:3" x14ac:dyDescent="0.45">
      <c r="A973" s="1">
        <v>42976</v>
      </c>
      <c r="B973" t="s">
        <v>10</v>
      </c>
      <c r="C973" t="s">
        <v>9</v>
      </c>
    </row>
    <row r="974" spans="1:3" x14ac:dyDescent="0.45">
      <c r="A974" s="1">
        <v>42977</v>
      </c>
      <c r="B974" t="s">
        <v>10</v>
      </c>
      <c r="C974" t="s">
        <v>9</v>
      </c>
    </row>
    <row r="975" spans="1:3" x14ac:dyDescent="0.45">
      <c r="A975" s="1">
        <v>42978</v>
      </c>
      <c r="B975" t="s">
        <v>10</v>
      </c>
      <c r="C975" t="s">
        <v>9</v>
      </c>
    </row>
    <row r="976" spans="1:3" x14ac:dyDescent="0.45">
      <c r="A976" s="1">
        <v>42979</v>
      </c>
      <c r="B976" t="s">
        <v>10</v>
      </c>
      <c r="C976" t="s">
        <v>9</v>
      </c>
    </row>
    <row r="977" spans="1:3" x14ac:dyDescent="0.45">
      <c r="A977" s="1">
        <v>42980</v>
      </c>
      <c r="B977" t="s">
        <v>10</v>
      </c>
      <c r="C977" t="s">
        <v>9</v>
      </c>
    </row>
    <row r="978" spans="1:3" x14ac:dyDescent="0.45">
      <c r="A978" s="1">
        <v>42981</v>
      </c>
      <c r="B978" t="s">
        <v>10</v>
      </c>
      <c r="C978" t="s">
        <v>9</v>
      </c>
    </row>
    <row r="979" spans="1:3" x14ac:dyDescent="0.45">
      <c r="A979" s="1">
        <v>42982</v>
      </c>
      <c r="B979" t="s">
        <v>10</v>
      </c>
      <c r="C979" t="s">
        <v>9</v>
      </c>
    </row>
    <row r="980" spans="1:3" x14ac:dyDescent="0.45">
      <c r="A980" s="1">
        <v>42983</v>
      </c>
      <c r="B980" t="s">
        <v>10</v>
      </c>
      <c r="C980" t="s">
        <v>9</v>
      </c>
    </row>
    <row r="981" spans="1:3" x14ac:dyDescent="0.45">
      <c r="A981" s="1">
        <v>42984</v>
      </c>
      <c r="B981" t="s">
        <v>10</v>
      </c>
      <c r="C981" t="s">
        <v>9</v>
      </c>
    </row>
    <row r="982" spans="1:3" x14ac:dyDescent="0.45">
      <c r="A982" s="1">
        <v>42985</v>
      </c>
      <c r="B982" t="s">
        <v>10</v>
      </c>
      <c r="C982" t="s">
        <v>9</v>
      </c>
    </row>
    <row r="983" spans="1:3" x14ac:dyDescent="0.45">
      <c r="A983" s="1">
        <v>42986</v>
      </c>
      <c r="B983" t="s">
        <v>10</v>
      </c>
      <c r="C983" t="s">
        <v>9</v>
      </c>
    </row>
    <row r="984" spans="1:3" x14ac:dyDescent="0.45">
      <c r="A984" s="1">
        <v>42987</v>
      </c>
      <c r="B984" t="s">
        <v>10</v>
      </c>
      <c r="C984" t="s">
        <v>9</v>
      </c>
    </row>
    <row r="985" spans="1:3" x14ac:dyDescent="0.45">
      <c r="A985" s="1">
        <v>42988</v>
      </c>
      <c r="B985" t="s">
        <v>10</v>
      </c>
      <c r="C985" t="s">
        <v>9</v>
      </c>
    </row>
    <row r="986" spans="1:3" x14ac:dyDescent="0.45">
      <c r="A986" s="1">
        <v>42989</v>
      </c>
      <c r="B986" t="s">
        <v>10</v>
      </c>
      <c r="C986" t="s">
        <v>9</v>
      </c>
    </row>
    <row r="987" spans="1:3" x14ac:dyDescent="0.45">
      <c r="A987" s="1">
        <v>42990</v>
      </c>
      <c r="B987" t="s">
        <v>10</v>
      </c>
      <c r="C987" t="s">
        <v>9</v>
      </c>
    </row>
    <row r="988" spans="1:3" x14ac:dyDescent="0.45">
      <c r="A988" s="1">
        <v>42991</v>
      </c>
      <c r="B988" t="s">
        <v>10</v>
      </c>
      <c r="C988" t="s">
        <v>9</v>
      </c>
    </row>
    <row r="989" spans="1:3" x14ac:dyDescent="0.45">
      <c r="A989" s="1">
        <v>42992</v>
      </c>
      <c r="B989" t="s">
        <v>10</v>
      </c>
      <c r="C989" t="s">
        <v>9</v>
      </c>
    </row>
    <row r="990" spans="1:3" x14ac:dyDescent="0.45">
      <c r="A990" s="1">
        <v>42993</v>
      </c>
      <c r="B990" t="s">
        <v>10</v>
      </c>
      <c r="C990" t="s">
        <v>9</v>
      </c>
    </row>
    <row r="991" spans="1:3" x14ac:dyDescent="0.45">
      <c r="A991" s="1">
        <v>42994</v>
      </c>
      <c r="B991" t="s">
        <v>10</v>
      </c>
      <c r="C991" t="s">
        <v>9</v>
      </c>
    </row>
    <row r="992" spans="1:3" x14ac:dyDescent="0.45">
      <c r="A992" s="1">
        <v>42995</v>
      </c>
      <c r="B992" t="s">
        <v>10</v>
      </c>
      <c r="C992" t="s">
        <v>9</v>
      </c>
    </row>
    <row r="993" spans="1:3" x14ac:dyDescent="0.45">
      <c r="A993" s="1">
        <v>42996</v>
      </c>
      <c r="B993" t="s">
        <v>10</v>
      </c>
      <c r="C993" t="s">
        <v>9</v>
      </c>
    </row>
    <row r="994" spans="1:3" x14ac:dyDescent="0.45">
      <c r="A994" s="1">
        <v>42997</v>
      </c>
      <c r="B994" t="s">
        <v>10</v>
      </c>
      <c r="C994" t="s">
        <v>9</v>
      </c>
    </row>
    <row r="995" spans="1:3" x14ac:dyDescent="0.45">
      <c r="A995" s="1">
        <v>42998</v>
      </c>
      <c r="B995" t="s">
        <v>10</v>
      </c>
      <c r="C995" t="s">
        <v>9</v>
      </c>
    </row>
    <row r="996" spans="1:3" x14ac:dyDescent="0.45">
      <c r="A996" s="1">
        <v>42999</v>
      </c>
      <c r="B996" t="s">
        <v>10</v>
      </c>
      <c r="C996" t="s">
        <v>9</v>
      </c>
    </row>
    <row r="997" spans="1:3" x14ac:dyDescent="0.45">
      <c r="A997" s="1">
        <v>43000</v>
      </c>
      <c r="B997" t="s">
        <v>9</v>
      </c>
      <c r="C997" t="s">
        <v>9</v>
      </c>
    </row>
    <row r="998" spans="1:3" x14ac:dyDescent="0.45">
      <c r="A998" s="1">
        <v>43001</v>
      </c>
      <c r="B998" t="s">
        <v>9</v>
      </c>
      <c r="C998" t="s">
        <v>9</v>
      </c>
    </row>
    <row r="999" spans="1:3" x14ac:dyDescent="0.45">
      <c r="A999" s="1">
        <v>43002</v>
      </c>
      <c r="B999" t="s">
        <v>9</v>
      </c>
      <c r="C999" t="s">
        <v>9</v>
      </c>
    </row>
    <row r="1000" spans="1:3" x14ac:dyDescent="0.45">
      <c r="A1000" s="1">
        <v>43003</v>
      </c>
      <c r="B1000" t="s">
        <v>9</v>
      </c>
      <c r="C1000" t="s">
        <v>9</v>
      </c>
    </row>
    <row r="1001" spans="1:3" x14ac:dyDescent="0.45">
      <c r="A1001" s="1">
        <v>43004</v>
      </c>
      <c r="B1001" t="s">
        <v>9</v>
      </c>
      <c r="C1001" t="s">
        <v>9</v>
      </c>
    </row>
    <row r="1002" spans="1:3" x14ac:dyDescent="0.45">
      <c r="A1002" s="1">
        <v>43005</v>
      </c>
      <c r="B1002" t="s">
        <v>9</v>
      </c>
      <c r="C1002" t="s">
        <v>9</v>
      </c>
    </row>
    <row r="1003" spans="1:3" x14ac:dyDescent="0.45">
      <c r="A1003" s="1">
        <v>43006</v>
      </c>
      <c r="B1003" t="s">
        <v>9</v>
      </c>
      <c r="C1003" t="s">
        <v>9</v>
      </c>
    </row>
    <row r="1004" spans="1:3" x14ac:dyDescent="0.45">
      <c r="A1004" s="1">
        <v>43007</v>
      </c>
      <c r="B1004" t="s">
        <v>9</v>
      </c>
      <c r="C1004" t="s">
        <v>10</v>
      </c>
    </row>
    <row r="1005" spans="1:3" x14ac:dyDescent="0.45">
      <c r="A1005" s="1">
        <v>43008</v>
      </c>
      <c r="B1005" t="s">
        <v>9</v>
      </c>
      <c r="C1005" t="s">
        <v>9</v>
      </c>
    </row>
    <row r="1006" spans="1:3" x14ac:dyDescent="0.45">
      <c r="A1006" s="1">
        <v>43009</v>
      </c>
      <c r="B1006" t="s">
        <v>9</v>
      </c>
      <c r="C1006" t="s">
        <v>9</v>
      </c>
    </row>
    <row r="1007" spans="1:3" x14ac:dyDescent="0.45">
      <c r="A1007" s="1">
        <v>43010</v>
      </c>
      <c r="B1007" t="s">
        <v>9</v>
      </c>
      <c r="C1007" t="s">
        <v>9</v>
      </c>
    </row>
    <row r="1008" spans="1:3" x14ac:dyDescent="0.45">
      <c r="A1008" s="1">
        <v>43011</v>
      </c>
      <c r="B1008" t="s">
        <v>9</v>
      </c>
      <c r="C1008" t="s">
        <v>9</v>
      </c>
    </row>
    <row r="1009" spans="1:3" x14ac:dyDescent="0.45">
      <c r="A1009" s="1">
        <v>43012</v>
      </c>
      <c r="B1009" t="s">
        <v>9</v>
      </c>
      <c r="C1009" t="s">
        <v>9</v>
      </c>
    </row>
    <row r="1010" spans="1:3" x14ac:dyDescent="0.45">
      <c r="A1010" s="1">
        <v>43013</v>
      </c>
      <c r="B1010" t="s">
        <v>9</v>
      </c>
      <c r="C1010" t="s">
        <v>9</v>
      </c>
    </row>
    <row r="1011" spans="1:3" x14ac:dyDescent="0.45">
      <c r="A1011" s="1">
        <v>43014</v>
      </c>
      <c r="B1011" t="s">
        <v>9</v>
      </c>
      <c r="C1011" t="s">
        <v>9</v>
      </c>
    </row>
    <row r="1012" spans="1:3" x14ac:dyDescent="0.45">
      <c r="A1012" s="1">
        <v>43015</v>
      </c>
      <c r="B1012" t="s">
        <v>9</v>
      </c>
      <c r="C1012" t="s">
        <v>9</v>
      </c>
    </row>
    <row r="1013" spans="1:3" x14ac:dyDescent="0.45">
      <c r="A1013" s="1">
        <v>43016</v>
      </c>
      <c r="B1013" t="s">
        <v>9</v>
      </c>
      <c r="C1013" t="s">
        <v>9</v>
      </c>
    </row>
    <row r="1014" spans="1:3" x14ac:dyDescent="0.45">
      <c r="A1014" s="1">
        <v>43017</v>
      </c>
      <c r="B1014" t="s">
        <v>9</v>
      </c>
      <c r="C1014" t="s">
        <v>9</v>
      </c>
    </row>
    <row r="1015" spans="1:3" x14ac:dyDescent="0.45">
      <c r="A1015" s="1">
        <v>43018</v>
      </c>
      <c r="B1015" t="s">
        <v>10</v>
      </c>
      <c r="C1015" t="s">
        <v>9</v>
      </c>
    </row>
    <row r="1016" spans="1:3" x14ac:dyDescent="0.45">
      <c r="A1016" s="1">
        <v>43019</v>
      </c>
      <c r="B1016" t="s">
        <v>10</v>
      </c>
      <c r="C1016" t="s">
        <v>9</v>
      </c>
    </row>
    <row r="1017" spans="1:3" x14ac:dyDescent="0.45">
      <c r="A1017" s="1">
        <v>43020</v>
      </c>
      <c r="B1017" t="s">
        <v>10</v>
      </c>
      <c r="C1017" t="s">
        <v>9</v>
      </c>
    </row>
    <row r="1018" spans="1:3" x14ac:dyDescent="0.45">
      <c r="A1018" s="1">
        <v>43021</v>
      </c>
      <c r="B1018" t="s">
        <v>10</v>
      </c>
      <c r="C1018" t="s">
        <v>9</v>
      </c>
    </row>
    <row r="1019" spans="1:3" x14ac:dyDescent="0.45">
      <c r="A1019" s="1">
        <v>43022</v>
      </c>
      <c r="B1019" t="s">
        <v>10</v>
      </c>
      <c r="C1019" t="s">
        <v>9</v>
      </c>
    </row>
    <row r="1020" spans="1:3" x14ac:dyDescent="0.45">
      <c r="A1020" s="1">
        <v>43023</v>
      </c>
      <c r="B1020" t="s">
        <v>10</v>
      </c>
      <c r="C1020" t="s">
        <v>9</v>
      </c>
    </row>
    <row r="1021" spans="1:3" x14ac:dyDescent="0.45">
      <c r="A1021" s="1">
        <v>43024</v>
      </c>
      <c r="B1021" t="s">
        <v>10</v>
      </c>
      <c r="C1021" t="s">
        <v>9</v>
      </c>
    </row>
    <row r="1022" spans="1:3" x14ac:dyDescent="0.45">
      <c r="A1022" s="1">
        <v>43025</v>
      </c>
      <c r="B1022" t="s">
        <v>10</v>
      </c>
      <c r="C1022" t="s">
        <v>9</v>
      </c>
    </row>
    <row r="1023" spans="1:3" x14ac:dyDescent="0.45">
      <c r="A1023" s="1">
        <v>43026</v>
      </c>
      <c r="B1023" t="s">
        <v>10</v>
      </c>
      <c r="C1023" t="s">
        <v>9</v>
      </c>
    </row>
    <row r="1024" spans="1:3" x14ac:dyDescent="0.45">
      <c r="A1024" s="1">
        <v>43027</v>
      </c>
      <c r="B1024" t="s">
        <v>10</v>
      </c>
      <c r="C1024" t="s">
        <v>9</v>
      </c>
    </row>
    <row r="1025" spans="1:3" x14ac:dyDescent="0.45">
      <c r="A1025" s="1">
        <v>43028</v>
      </c>
      <c r="B1025" t="s">
        <v>10</v>
      </c>
      <c r="C1025" t="s">
        <v>9</v>
      </c>
    </row>
    <row r="1026" spans="1:3" x14ac:dyDescent="0.45">
      <c r="A1026" s="1">
        <v>43029</v>
      </c>
      <c r="B1026" t="s">
        <v>10</v>
      </c>
      <c r="C1026" t="s">
        <v>9</v>
      </c>
    </row>
    <row r="1027" spans="1:3" x14ac:dyDescent="0.45">
      <c r="A1027" s="1">
        <v>43030</v>
      </c>
      <c r="B1027" t="s">
        <v>10</v>
      </c>
      <c r="C1027" t="s">
        <v>9</v>
      </c>
    </row>
    <row r="1028" spans="1:3" x14ac:dyDescent="0.45">
      <c r="A1028" s="1">
        <v>43031</v>
      </c>
      <c r="B1028" t="s">
        <v>10</v>
      </c>
      <c r="C1028" t="s">
        <v>9</v>
      </c>
    </row>
    <row r="1029" spans="1:3" x14ac:dyDescent="0.45">
      <c r="A1029" s="1">
        <v>43032</v>
      </c>
      <c r="B1029" t="s">
        <v>10</v>
      </c>
      <c r="C1029" t="s">
        <v>9</v>
      </c>
    </row>
    <row r="1030" spans="1:3" x14ac:dyDescent="0.45">
      <c r="A1030" s="1">
        <v>43033</v>
      </c>
      <c r="B1030" t="s">
        <v>10</v>
      </c>
      <c r="C1030" t="s">
        <v>9</v>
      </c>
    </row>
    <row r="1031" spans="1:3" x14ac:dyDescent="0.45">
      <c r="A1031" s="1">
        <v>43034</v>
      </c>
      <c r="B1031" t="s">
        <v>10</v>
      </c>
      <c r="C1031" t="s">
        <v>9</v>
      </c>
    </row>
    <row r="1032" spans="1:3" x14ac:dyDescent="0.45">
      <c r="A1032" s="1">
        <v>43035</v>
      </c>
      <c r="B1032" t="s">
        <v>10</v>
      </c>
      <c r="C1032" t="s">
        <v>9</v>
      </c>
    </row>
    <row r="1033" spans="1:3" x14ac:dyDescent="0.45">
      <c r="A1033" s="1">
        <v>43036</v>
      </c>
      <c r="B1033" t="s">
        <v>10</v>
      </c>
      <c r="C1033" t="s">
        <v>9</v>
      </c>
    </row>
    <row r="1034" spans="1:3" x14ac:dyDescent="0.45">
      <c r="A1034" s="1">
        <v>43037</v>
      </c>
      <c r="B1034" t="s">
        <v>10</v>
      </c>
      <c r="C1034" t="s">
        <v>9</v>
      </c>
    </row>
    <row r="1035" spans="1:3" x14ac:dyDescent="0.45">
      <c r="A1035" s="1">
        <v>43038</v>
      </c>
      <c r="B1035" t="s">
        <v>10</v>
      </c>
      <c r="C1035" t="s">
        <v>9</v>
      </c>
    </row>
    <row r="1036" spans="1:3" x14ac:dyDescent="0.45">
      <c r="A1036" s="1">
        <v>43039</v>
      </c>
      <c r="B1036" t="s">
        <v>10</v>
      </c>
      <c r="C1036" t="s">
        <v>9</v>
      </c>
    </row>
    <row r="1037" spans="1:3" x14ac:dyDescent="0.45">
      <c r="A1037" s="1">
        <v>43040</v>
      </c>
      <c r="B1037" t="s">
        <v>10</v>
      </c>
      <c r="C1037" t="s">
        <v>9</v>
      </c>
    </row>
    <row r="1038" spans="1:3" x14ac:dyDescent="0.45">
      <c r="A1038" s="1">
        <v>43041</v>
      </c>
      <c r="B1038" t="s">
        <v>10</v>
      </c>
      <c r="C1038" t="s">
        <v>9</v>
      </c>
    </row>
    <row r="1039" spans="1:3" x14ac:dyDescent="0.45">
      <c r="A1039" s="1">
        <v>43042</v>
      </c>
      <c r="B1039" t="s">
        <v>10</v>
      </c>
      <c r="C1039" t="s">
        <v>9</v>
      </c>
    </row>
    <row r="1040" spans="1:3" x14ac:dyDescent="0.45">
      <c r="A1040" s="1">
        <v>43043</v>
      </c>
      <c r="B1040" t="s">
        <v>10</v>
      </c>
      <c r="C1040" t="s">
        <v>9</v>
      </c>
    </row>
    <row r="1041" spans="1:3" x14ac:dyDescent="0.45">
      <c r="A1041" s="1">
        <v>43044</v>
      </c>
      <c r="B1041" t="s">
        <v>10</v>
      </c>
      <c r="C1041" t="s">
        <v>9</v>
      </c>
    </row>
    <row r="1042" spans="1:3" x14ac:dyDescent="0.45">
      <c r="A1042" s="1">
        <v>43045</v>
      </c>
      <c r="B1042" t="s">
        <v>10</v>
      </c>
      <c r="C1042" t="s">
        <v>9</v>
      </c>
    </row>
    <row r="1043" spans="1:3" x14ac:dyDescent="0.45">
      <c r="A1043" s="1">
        <v>43046</v>
      </c>
      <c r="B1043" t="s">
        <v>10</v>
      </c>
      <c r="C1043" t="s">
        <v>10</v>
      </c>
    </row>
    <row r="1044" spans="1:3" x14ac:dyDescent="0.45">
      <c r="A1044" s="1">
        <v>43047</v>
      </c>
      <c r="B1044" t="s">
        <v>10</v>
      </c>
      <c r="C1044" t="s">
        <v>9</v>
      </c>
    </row>
    <row r="1045" spans="1:3" x14ac:dyDescent="0.45">
      <c r="A1045" s="1">
        <v>43048</v>
      </c>
      <c r="B1045" t="s">
        <v>10</v>
      </c>
      <c r="C1045" t="s">
        <v>9</v>
      </c>
    </row>
    <row r="1046" spans="1:3" x14ac:dyDescent="0.45">
      <c r="A1046" s="1">
        <v>43049</v>
      </c>
      <c r="B1046" t="s">
        <v>10</v>
      </c>
      <c r="C1046" t="s">
        <v>9</v>
      </c>
    </row>
    <row r="1047" spans="1:3" x14ac:dyDescent="0.45">
      <c r="A1047" s="1">
        <v>43050</v>
      </c>
      <c r="B1047" t="s">
        <v>10</v>
      </c>
      <c r="C1047" t="s">
        <v>9</v>
      </c>
    </row>
    <row r="1048" spans="1:3" x14ac:dyDescent="0.45">
      <c r="A1048" s="1">
        <v>43051</v>
      </c>
      <c r="B1048" t="s">
        <v>10</v>
      </c>
      <c r="C1048" t="s">
        <v>9</v>
      </c>
    </row>
    <row r="1049" spans="1:3" x14ac:dyDescent="0.45">
      <c r="A1049" s="1">
        <v>43052</v>
      </c>
      <c r="B1049" t="s">
        <v>10</v>
      </c>
      <c r="C1049" t="s">
        <v>9</v>
      </c>
    </row>
    <row r="1050" spans="1:3" x14ac:dyDescent="0.45">
      <c r="A1050" s="1">
        <v>43053</v>
      </c>
      <c r="B1050" t="s">
        <v>10</v>
      </c>
      <c r="C1050" t="s">
        <v>9</v>
      </c>
    </row>
    <row r="1051" spans="1:3" x14ac:dyDescent="0.45">
      <c r="A1051" s="1">
        <v>43054</v>
      </c>
      <c r="B1051" t="s">
        <v>10</v>
      </c>
      <c r="C1051" t="s">
        <v>9</v>
      </c>
    </row>
    <row r="1052" spans="1:3" x14ac:dyDescent="0.45">
      <c r="A1052" s="1">
        <v>43055</v>
      </c>
      <c r="B1052" t="s">
        <v>10</v>
      </c>
      <c r="C1052" t="s">
        <v>9</v>
      </c>
    </row>
    <row r="1053" spans="1:3" x14ac:dyDescent="0.45">
      <c r="A1053" s="1">
        <v>43056</v>
      </c>
      <c r="B1053" t="s">
        <v>10</v>
      </c>
      <c r="C1053" t="s">
        <v>9</v>
      </c>
    </row>
    <row r="1054" spans="1:3" x14ac:dyDescent="0.45">
      <c r="A1054" s="1">
        <v>43057</v>
      </c>
      <c r="B1054" t="s">
        <v>10</v>
      </c>
      <c r="C1054" t="s">
        <v>9</v>
      </c>
    </row>
    <row r="1055" spans="1:3" x14ac:dyDescent="0.45">
      <c r="A1055" s="1">
        <v>43058</v>
      </c>
      <c r="B1055" t="s">
        <v>10</v>
      </c>
      <c r="C1055" t="s">
        <v>9</v>
      </c>
    </row>
    <row r="1056" spans="1:3" x14ac:dyDescent="0.45">
      <c r="A1056" s="1">
        <v>43059</v>
      </c>
      <c r="B1056" t="s">
        <v>10</v>
      </c>
      <c r="C1056" t="s">
        <v>9</v>
      </c>
    </row>
    <row r="1057" spans="1:3" x14ac:dyDescent="0.45">
      <c r="A1057" s="1">
        <v>43060</v>
      </c>
      <c r="B1057" t="s">
        <v>10</v>
      </c>
      <c r="C1057" t="s">
        <v>9</v>
      </c>
    </row>
    <row r="1058" spans="1:3" x14ac:dyDescent="0.45">
      <c r="A1058" s="1">
        <v>43061</v>
      </c>
      <c r="B1058" t="s">
        <v>10</v>
      </c>
      <c r="C1058" t="s">
        <v>9</v>
      </c>
    </row>
    <row r="1059" spans="1:3" x14ac:dyDescent="0.45">
      <c r="A1059" s="1">
        <v>43062</v>
      </c>
      <c r="B1059" t="s">
        <v>10</v>
      </c>
      <c r="C1059" t="s">
        <v>9</v>
      </c>
    </row>
    <row r="1060" spans="1:3" x14ac:dyDescent="0.45">
      <c r="A1060" s="1">
        <v>43063</v>
      </c>
      <c r="B1060" t="s">
        <v>10</v>
      </c>
      <c r="C1060" t="s">
        <v>9</v>
      </c>
    </row>
    <row r="1061" spans="1:3" x14ac:dyDescent="0.45">
      <c r="A1061" s="1">
        <v>43064</v>
      </c>
      <c r="B1061" t="s">
        <v>10</v>
      </c>
      <c r="C1061" t="s">
        <v>9</v>
      </c>
    </row>
    <row r="1062" spans="1:3" x14ac:dyDescent="0.45">
      <c r="A1062" s="1">
        <v>43065</v>
      </c>
      <c r="B1062" t="s">
        <v>10</v>
      </c>
      <c r="C1062" t="s">
        <v>9</v>
      </c>
    </row>
    <row r="1063" spans="1:3" x14ac:dyDescent="0.45">
      <c r="A1063" s="1">
        <v>43066</v>
      </c>
      <c r="B1063" t="s">
        <v>10</v>
      </c>
      <c r="C1063" t="s">
        <v>9</v>
      </c>
    </row>
    <row r="1064" spans="1:3" x14ac:dyDescent="0.45">
      <c r="A1064" s="1">
        <v>43067</v>
      </c>
      <c r="B1064" t="s">
        <v>10</v>
      </c>
      <c r="C1064" t="s">
        <v>9</v>
      </c>
    </row>
    <row r="1065" spans="1:3" x14ac:dyDescent="0.45">
      <c r="A1065" s="1">
        <v>43068</v>
      </c>
      <c r="B1065" t="s">
        <v>10</v>
      </c>
      <c r="C1065" t="s">
        <v>9</v>
      </c>
    </row>
    <row r="1066" spans="1:3" x14ac:dyDescent="0.45">
      <c r="A1066" s="1">
        <v>43069</v>
      </c>
      <c r="B1066" t="s">
        <v>10</v>
      </c>
      <c r="C1066" t="s">
        <v>9</v>
      </c>
    </row>
    <row r="1067" spans="1:3" x14ac:dyDescent="0.45">
      <c r="A1067" s="1">
        <v>43070</v>
      </c>
      <c r="B1067" t="s">
        <v>10</v>
      </c>
      <c r="C1067" t="s">
        <v>9</v>
      </c>
    </row>
    <row r="1068" spans="1:3" x14ac:dyDescent="0.45">
      <c r="A1068" s="1">
        <v>43071</v>
      </c>
      <c r="B1068" t="s">
        <v>10</v>
      </c>
      <c r="C1068" t="s">
        <v>9</v>
      </c>
    </row>
    <row r="1069" spans="1:3" x14ac:dyDescent="0.45">
      <c r="A1069" s="1">
        <v>43072</v>
      </c>
      <c r="B1069" t="s">
        <v>10</v>
      </c>
      <c r="C1069" t="s">
        <v>9</v>
      </c>
    </row>
    <row r="1070" spans="1:3" x14ac:dyDescent="0.45">
      <c r="A1070" s="1">
        <v>43073</v>
      </c>
      <c r="B1070" t="s">
        <v>10</v>
      </c>
      <c r="C1070" t="s">
        <v>9</v>
      </c>
    </row>
    <row r="1071" spans="1:3" x14ac:dyDescent="0.45">
      <c r="A1071" s="1">
        <v>43074</v>
      </c>
      <c r="B1071" t="s">
        <v>10</v>
      </c>
      <c r="C1071" t="s">
        <v>9</v>
      </c>
    </row>
    <row r="1072" spans="1:3" x14ac:dyDescent="0.45">
      <c r="A1072" s="1">
        <v>43075</v>
      </c>
      <c r="B1072" t="s">
        <v>10</v>
      </c>
      <c r="C1072" t="s">
        <v>9</v>
      </c>
    </row>
    <row r="1073" spans="1:3" x14ac:dyDescent="0.45">
      <c r="A1073" s="1">
        <v>43076</v>
      </c>
      <c r="B1073" t="s">
        <v>10</v>
      </c>
      <c r="C1073" t="s">
        <v>9</v>
      </c>
    </row>
    <row r="1074" spans="1:3" x14ac:dyDescent="0.45">
      <c r="A1074" s="1">
        <v>43077</v>
      </c>
      <c r="B1074" t="s">
        <v>10</v>
      </c>
      <c r="C1074" t="s">
        <v>9</v>
      </c>
    </row>
    <row r="1075" spans="1:3" x14ac:dyDescent="0.45">
      <c r="A1075" s="1">
        <v>43078</v>
      </c>
      <c r="B1075" t="s">
        <v>10</v>
      </c>
      <c r="C1075" t="s">
        <v>9</v>
      </c>
    </row>
    <row r="1076" spans="1:3" x14ac:dyDescent="0.45">
      <c r="A1076" s="1">
        <v>43079</v>
      </c>
      <c r="B1076" t="s">
        <v>10</v>
      </c>
      <c r="C1076" t="s">
        <v>9</v>
      </c>
    </row>
    <row r="1077" spans="1:3" x14ac:dyDescent="0.45">
      <c r="A1077" s="1">
        <v>43080</v>
      </c>
      <c r="B1077" t="s">
        <v>10</v>
      </c>
      <c r="C1077" t="s">
        <v>9</v>
      </c>
    </row>
    <row r="1078" spans="1:3" x14ac:dyDescent="0.45">
      <c r="A1078" s="1">
        <v>43081</v>
      </c>
      <c r="B1078" t="s">
        <v>10</v>
      </c>
      <c r="C1078" t="s">
        <v>9</v>
      </c>
    </row>
    <row r="1079" spans="1:3" x14ac:dyDescent="0.45">
      <c r="A1079" s="1">
        <v>43082</v>
      </c>
      <c r="B1079" t="s">
        <v>10</v>
      </c>
      <c r="C1079" t="s">
        <v>9</v>
      </c>
    </row>
    <row r="1080" spans="1:3" x14ac:dyDescent="0.45">
      <c r="A1080" s="1">
        <v>43083</v>
      </c>
      <c r="B1080" t="s">
        <v>10</v>
      </c>
      <c r="C1080" t="s">
        <v>9</v>
      </c>
    </row>
    <row r="1081" spans="1:3" x14ac:dyDescent="0.45">
      <c r="A1081" s="1">
        <v>43084</v>
      </c>
      <c r="B1081" t="s">
        <v>10</v>
      </c>
      <c r="C1081" t="s">
        <v>9</v>
      </c>
    </row>
    <row r="1082" spans="1:3" x14ac:dyDescent="0.45">
      <c r="A1082" s="1">
        <v>43085</v>
      </c>
      <c r="B1082" t="s">
        <v>10</v>
      </c>
      <c r="C1082" t="s">
        <v>9</v>
      </c>
    </row>
    <row r="1083" spans="1:3" x14ac:dyDescent="0.45">
      <c r="A1083" s="1">
        <v>43086</v>
      </c>
      <c r="B1083" t="s">
        <v>10</v>
      </c>
      <c r="C1083" t="s">
        <v>9</v>
      </c>
    </row>
    <row r="1084" spans="1:3" x14ac:dyDescent="0.45">
      <c r="A1084" s="1">
        <v>43087</v>
      </c>
      <c r="B1084" t="s">
        <v>10</v>
      </c>
      <c r="C1084" t="s">
        <v>9</v>
      </c>
    </row>
    <row r="1085" spans="1:3" x14ac:dyDescent="0.45">
      <c r="A1085" s="1">
        <v>43088</v>
      </c>
      <c r="B1085" t="s">
        <v>10</v>
      </c>
      <c r="C1085" t="s">
        <v>9</v>
      </c>
    </row>
    <row r="1086" spans="1:3" x14ac:dyDescent="0.45">
      <c r="A1086" s="1">
        <v>43089</v>
      </c>
      <c r="B1086" t="s">
        <v>10</v>
      </c>
      <c r="C1086" t="s">
        <v>9</v>
      </c>
    </row>
    <row r="1087" spans="1:3" x14ac:dyDescent="0.45">
      <c r="A1087" s="1">
        <v>43090</v>
      </c>
      <c r="B1087" t="s">
        <v>10</v>
      </c>
      <c r="C1087" t="s">
        <v>9</v>
      </c>
    </row>
    <row r="1088" spans="1:3" x14ac:dyDescent="0.45">
      <c r="A1088" s="1">
        <v>43091</v>
      </c>
      <c r="B1088" t="s">
        <v>9</v>
      </c>
      <c r="C1088" t="s">
        <v>9</v>
      </c>
    </row>
    <row r="1089" spans="1:3" x14ac:dyDescent="0.45">
      <c r="A1089" s="1">
        <v>43092</v>
      </c>
      <c r="B1089" t="s">
        <v>9</v>
      </c>
      <c r="C1089" t="s">
        <v>9</v>
      </c>
    </row>
    <row r="1090" spans="1:3" x14ac:dyDescent="0.45">
      <c r="A1090" s="1">
        <v>43093</v>
      </c>
      <c r="B1090" t="s">
        <v>9</v>
      </c>
      <c r="C1090" t="s">
        <v>9</v>
      </c>
    </row>
    <row r="1091" spans="1:3" x14ac:dyDescent="0.45">
      <c r="A1091" s="1">
        <v>43094</v>
      </c>
      <c r="B1091" t="s">
        <v>9</v>
      </c>
      <c r="C1091" t="s">
        <v>10</v>
      </c>
    </row>
    <row r="1092" spans="1:3" x14ac:dyDescent="0.45">
      <c r="A1092" s="1">
        <v>43095</v>
      </c>
      <c r="B1092" t="s">
        <v>9</v>
      </c>
      <c r="C1092" t="s">
        <v>10</v>
      </c>
    </row>
    <row r="1093" spans="1:3" x14ac:dyDescent="0.45">
      <c r="A1093" s="1">
        <v>43096</v>
      </c>
      <c r="B1093" t="s">
        <v>9</v>
      </c>
      <c r="C1093" t="s">
        <v>9</v>
      </c>
    </row>
    <row r="1094" spans="1:3" x14ac:dyDescent="0.45">
      <c r="A1094" s="1">
        <v>43097</v>
      </c>
      <c r="B1094" t="s">
        <v>9</v>
      </c>
      <c r="C1094" t="s">
        <v>9</v>
      </c>
    </row>
    <row r="1095" spans="1:3" x14ac:dyDescent="0.45">
      <c r="A1095" s="1">
        <v>43098</v>
      </c>
      <c r="B1095" t="s">
        <v>9</v>
      </c>
      <c r="C1095" t="s">
        <v>9</v>
      </c>
    </row>
    <row r="1096" spans="1:3" x14ac:dyDescent="0.45">
      <c r="A1096" s="1">
        <v>43099</v>
      </c>
      <c r="B1096" t="s">
        <v>9</v>
      </c>
      <c r="C1096" t="s">
        <v>9</v>
      </c>
    </row>
    <row r="1097" spans="1:3" x14ac:dyDescent="0.45">
      <c r="A1097" s="1">
        <v>43100</v>
      </c>
      <c r="B1097" t="s">
        <v>9</v>
      </c>
      <c r="C1097" t="s">
        <v>9</v>
      </c>
    </row>
    <row r="1098" spans="1:3" x14ac:dyDescent="0.45">
      <c r="A1098" s="1">
        <v>43101</v>
      </c>
      <c r="B1098" t="s">
        <v>9</v>
      </c>
      <c r="C1098" t="s">
        <v>10</v>
      </c>
    </row>
    <row r="1099" spans="1:3" x14ac:dyDescent="0.45">
      <c r="A1099" s="1">
        <v>43102</v>
      </c>
      <c r="B1099" t="s">
        <v>9</v>
      </c>
      <c r="C1099" t="s">
        <v>9</v>
      </c>
    </row>
    <row r="1100" spans="1:3" x14ac:dyDescent="0.45">
      <c r="A1100" s="1">
        <v>43103</v>
      </c>
      <c r="B1100" t="s">
        <v>9</v>
      </c>
      <c r="C1100" t="s">
        <v>9</v>
      </c>
    </row>
    <row r="1101" spans="1:3" x14ac:dyDescent="0.45">
      <c r="A1101" s="1">
        <v>43104</v>
      </c>
      <c r="B1101" t="s">
        <v>9</v>
      </c>
      <c r="C1101" t="s">
        <v>9</v>
      </c>
    </row>
    <row r="1102" spans="1:3" x14ac:dyDescent="0.45">
      <c r="A1102" s="1">
        <v>43105</v>
      </c>
      <c r="B1102" t="s">
        <v>9</v>
      </c>
      <c r="C1102" t="s">
        <v>9</v>
      </c>
    </row>
    <row r="1103" spans="1:3" x14ac:dyDescent="0.45">
      <c r="A1103" s="1">
        <v>43106</v>
      </c>
      <c r="B1103" t="s">
        <v>9</v>
      </c>
      <c r="C1103" t="s">
        <v>9</v>
      </c>
    </row>
    <row r="1104" spans="1:3" x14ac:dyDescent="0.45">
      <c r="A1104" s="1">
        <v>43107</v>
      </c>
      <c r="B1104" t="s">
        <v>9</v>
      </c>
      <c r="C1104" t="s">
        <v>9</v>
      </c>
    </row>
    <row r="1105" spans="1:3" x14ac:dyDescent="0.45">
      <c r="A1105" s="1">
        <v>43108</v>
      </c>
      <c r="B1105" t="s">
        <v>9</v>
      </c>
      <c r="C1105" t="s">
        <v>9</v>
      </c>
    </row>
    <row r="1106" spans="1:3" x14ac:dyDescent="0.45">
      <c r="A1106" s="1">
        <v>43109</v>
      </c>
      <c r="B1106" t="s">
        <v>9</v>
      </c>
      <c r="C1106" t="s">
        <v>9</v>
      </c>
    </row>
    <row r="1107" spans="1:3" x14ac:dyDescent="0.45">
      <c r="A1107" s="1">
        <v>43110</v>
      </c>
      <c r="B1107" t="s">
        <v>9</v>
      </c>
      <c r="C1107" t="s">
        <v>9</v>
      </c>
    </row>
    <row r="1108" spans="1:3" x14ac:dyDescent="0.45">
      <c r="A1108" s="1">
        <v>43111</v>
      </c>
      <c r="B1108" t="s">
        <v>9</v>
      </c>
      <c r="C1108" t="s">
        <v>9</v>
      </c>
    </row>
    <row r="1109" spans="1:3" x14ac:dyDescent="0.45">
      <c r="A1109" s="1">
        <v>43112</v>
      </c>
      <c r="B1109" t="s">
        <v>9</v>
      </c>
      <c r="C1109" t="s">
        <v>9</v>
      </c>
    </row>
    <row r="1110" spans="1:3" x14ac:dyDescent="0.45">
      <c r="A1110" s="1">
        <v>43113</v>
      </c>
      <c r="B1110" t="s">
        <v>9</v>
      </c>
      <c r="C1110" t="s">
        <v>9</v>
      </c>
    </row>
    <row r="1111" spans="1:3" x14ac:dyDescent="0.45">
      <c r="A1111" s="1">
        <v>43114</v>
      </c>
      <c r="B1111" t="s">
        <v>9</v>
      </c>
      <c r="C1111" t="s">
        <v>9</v>
      </c>
    </row>
    <row r="1112" spans="1:3" x14ac:dyDescent="0.45">
      <c r="A1112" s="1">
        <v>43115</v>
      </c>
      <c r="B1112" t="s">
        <v>9</v>
      </c>
      <c r="C1112" t="s">
        <v>9</v>
      </c>
    </row>
    <row r="1113" spans="1:3" x14ac:dyDescent="0.45">
      <c r="A1113" s="1">
        <v>43116</v>
      </c>
      <c r="B1113" t="s">
        <v>9</v>
      </c>
      <c r="C1113" t="s">
        <v>9</v>
      </c>
    </row>
    <row r="1114" spans="1:3" x14ac:dyDescent="0.45">
      <c r="A1114" s="1">
        <v>43117</v>
      </c>
      <c r="B1114" t="s">
        <v>9</v>
      </c>
      <c r="C1114" t="s">
        <v>9</v>
      </c>
    </row>
    <row r="1115" spans="1:3" x14ac:dyDescent="0.45">
      <c r="A1115" s="1">
        <v>43118</v>
      </c>
      <c r="B1115" t="s">
        <v>9</v>
      </c>
      <c r="C1115" t="s">
        <v>9</v>
      </c>
    </row>
    <row r="1116" spans="1:3" x14ac:dyDescent="0.45">
      <c r="A1116" s="1">
        <v>43119</v>
      </c>
      <c r="B1116" t="s">
        <v>9</v>
      </c>
      <c r="C1116" t="s">
        <v>9</v>
      </c>
    </row>
    <row r="1117" spans="1:3" x14ac:dyDescent="0.45">
      <c r="A1117" s="1">
        <v>43120</v>
      </c>
      <c r="B1117" t="s">
        <v>9</v>
      </c>
      <c r="C1117" t="s">
        <v>9</v>
      </c>
    </row>
    <row r="1118" spans="1:3" x14ac:dyDescent="0.45">
      <c r="A1118" s="1">
        <v>43121</v>
      </c>
      <c r="B1118" t="s">
        <v>9</v>
      </c>
      <c r="C1118" t="s">
        <v>9</v>
      </c>
    </row>
    <row r="1119" spans="1:3" x14ac:dyDescent="0.45">
      <c r="A1119" s="1">
        <v>43122</v>
      </c>
      <c r="B1119" t="s">
        <v>9</v>
      </c>
      <c r="C1119" t="s">
        <v>9</v>
      </c>
    </row>
    <row r="1120" spans="1:3" x14ac:dyDescent="0.45">
      <c r="A1120" s="1">
        <v>43123</v>
      </c>
      <c r="B1120" t="s">
        <v>9</v>
      </c>
      <c r="C1120" t="s">
        <v>9</v>
      </c>
    </row>
    <row r="1121" spans="1:3" x14ac:dyDescent="0.45">
      <c r="A1121" s="1">
        <v>43124</v>
      </c>
      <c r="B1121" t="s">
        <v>9</v>
      </c>
      <c r="C1121" t="s">
        <v>9</v>
      </c>
    </row>
    <row r="1122" spans="1:3" x14ac:dyDescent="0.45">
      <c r="A1122" s="1">
        <v>43125</v>
      </c>
      <c r="B1122" t="s">
        <v>9</v>
      </c>
      <c r="C1122" t="s">
        <v>9</v>
      </c>
    </row>
    <row r="1123" spans="1:3" x14ac:dyDescent="0.45">
      <c r="A1123" s="1">
        <v>43126</v>
      </c>
      <c r="B1123" t="s">
        <v>9</v>
      </c>
      <c r="C1123" t="s">
        <v>10</v>
      </c>
    </row>
    <row r="1124" spans="1:3" x14ac:dyDescent="0.45">
      <c r="A1124" s="1">
        <v>43127</v>
      </c>
      <c r="B1124" t="s">
        <v>9</v>
      </c>
      <c r="C1124" t="s">
        <v>9</v>
      </c>
    </row>
    <row r="1125" spans="1:3" x14ac:dyDescent="0.45">
      <c r="A1125" s="1">
        <v>43128</v>
      </c>
      <c r="B1125" t="s">
        <v>9</v>
      </c>
      <c r="C1125" t="s">
        <v>9</v>
      </c>
    </row>
    <row r="1126" spans="1:3" x14ac:dyDescent="0.45">
      <c r="A1126" s="1">
        <v>43129</v>
      </c>
      <c r="B1126" t="s">
        <v>9</v>
      </c>
      <c r="C1126" t="s">
        <v>9</v>
      </c>
    </row>
    <row r="1127" spans="1:3" x14ac:dyDescent="0.45">
      <c r="A1127" s="1">
        <v>43130</v>
      </c>
      <c r="B1127" t="s">
        <v>9</v>
      </c>
      <c r="C1127" t="s">
        <v>9</v>
      </c>
    </row>
    <row r="1128" spans="1:3" x14ac:dyDescent="0.45">
      <c r="A1128" s="1">
        <v>43131</v>
      </c>
      <c r="B1128" t="s">
        <v>10</v>
      </c>
      <c r="C1128" t="s">
        <v>9</v>
      </c>
    </row>
    <row r="1129" spans="1:3" x14ac:dyDescent="0.45">
      <c r="A1129" s="1">
        <v>43132</v>
      </c>
      <c r="B1129" t="s">
        <v>10</v>
      </c>
      <c r="C1129" t="s">
        <v>9</v>
      </c>
    </row>
    <row r="1130" spans="1:3" x14ac:dyDescent="0.45">
      <c r="A1130" s="1">
        <v>43133</v>
      </c>
      <c r="B1130" t="s">
        <v>10</v>
      </c>
      <c r="C1130" t="s">
        <v>9</v>
      </c>
    </row>
    <row r="1131" spans="1:3" x14ac:dyDescent="0.45">
      <c r="A1131" s="1">
        <v>43134</v>
      </c>
      <c r="B1131" t="s">
        <v>10</v>
      </c>
      <c r="C1131" t="s">
        <v>9</v>
      </c>
    </row>
    <row r="1132" spans="1:3" x14ac:dyDescent="0.45">
      <c r="A1132" s="1">
        <v>43135</v>
      </c>
      <c r="B1132" t="s">
        <v>10</v>
      </c>
      <c r="C1132" t="s">
        <v>9</v>
      </c>
    </row>
    <row r="1133" spans="1:3" x14ac:dyDescent="0.45">
      <c r="A1133" s="1">
        <v>43136</v>
      </c>
      <c r="B1133" t="s">
        <v>10</v>
      </c>
      <c r="C1133" t="s">
        <v>9</v>
      </c>
    </row>
    <row r="1134" spans="1:3" x14ac:dyDescent="0.45">
      <c r="A1134" s="1">
        <v>43137</v>
      </c>
      <c r="B1134" t="s">
        <v>10</v>
      </c>
      <c r="C1134" t="s">
        <v>9</v>
      </c>
    </row>
    <row r="1135" spans="1:3" x14ac:dyDescent="0.45">
      <c r="A1135" s="1">
        <v>43138</v>
      </c>
      <c r="B1135" t="s">
        <v>10</v>
      </c>
      <c r="C1135" t="s">
        <v>9</v>
      </c>
    </row>
    <row r="1136" spans="1:3" x14ac:dyDescent="0.45">
      <c r="A1136" s="1">
        <v>43139</v>
      </c>
      <c r="B1136" t="s">
        <v>10</v>
      </c>
      <c r="C1136" t="s">
        <v>9</v>
      </c>
    </row>
    <row r="1137" spans="1:3" x14ac:dyDescent="0.45">
      <c r="A1137" s="1">
        <v>43140</v>
      </c>
      <c r="B1137" t="s">
        <v>10</v>
      </c>
      <c r="C1137" t="s">
        <v>9</v>
      </c>
    </row>
    <row r="1138" spans="1:3" x14ac:dyDescent="0.45">
      <c r="A1138" s="1">
        <v>43141</v>
      </c>
      <c r="B1138" t="s">
        <v>10</v>
      </c>
      <c r="C1138" t="s">
        <v>9</v>
      </c>
    </row>
    <row r="1139" spans="1:3" x14ac:dyDescent="0.45">
      <c r="A1139" s="1">
        <v>43142</v>
      </c>
      <c r="B1139" t="s">
        <v>10</v>
      </c>
      <c r="C1139" t="s">
        <v>9</v>
      </c>
    </row>
    <row r="1140" spans="1:3" x14ac:dyDescent="0.45">
      <c r="A1140" s="1">
        <v>43143</v>
      </c>
      <c r="B1140" t="s">
        <v>10</v>
      </c>
      <c r="C1140" t="s">
        <v>9</v>
      </c>
    </row>
    <row r="1141" spans="1:3" x14ac:dyDescent="0.45">
      <c r="A1141" s="1">
        <v>43144</v>
      </c>
      <c r="B1141" t="s">
        <v>10</v>
      </c>
      <c r="C1141" t="s">
        <v>9</v>
      </c>
    </row>
    <row r="1142" spans="1:3" x14ac:dyDescent="0.45">
      <c r="A1142" s="1">
        <v>43145</v>
      </c>
      <c r="B1142" t="s">
        <v>10</v>
      </c>
      <c r="C1142" t="s">
        <v>9</v>
      </c>
    </row>
    <row r="1143" spans="1:3" x14ac:dyDescent="0.45">
      <c r="A1143" s="1">
        <v>43146</v>
      </c>
      <c r="B1143" t="s">
        <v>10</v>
      </c>
      <c r="C1143" t="s">
        <v>9</v>
      </c>
    </row>
    <row r="1144" spans="1:3" x14ac:dyDescent="0.45">
      <c r="A1144" s="1">
        <v>43147</v>
      </c>
      <c r="B1144" t="s">
        <v>10</v>
      </c>
      <c r="C1144" t="s">
        <v>9</v>
      </c>
    </row>
    <row r="1145" spans="1:3" x14ac:dyDescent="0.45">
      <c r="A1145" s="1">
        <v>43148</v>
      </c>
      <c r="B1145" t="s">
        <v>10</v>
      </c>
      <c r="C1145" t="s">
        <v>9</v>
      </c>
    </row>
    <row r="1146" spans="1:3" x14ac:dyDescent="0.45">
      <c r="A1146" s="1">
        <v>43149</v>
      </c>
      <c r="B1146" t="s">
        <v>10</v>
      </c>
      <c r="C1146" t="s">
        <v>9</v>
      </c>
    </row>
    <row r="1147" spans="1:3" x14ac:dyDescent="0.45">
      <c r="A1147" s="1">
        <v>43150</v>
      </c>
      <c r="B1147" t="s">
        <v>10</v>
      </c>
      <c r="C1147" t="s">
        <v>9</v>
      </c>
    </row>
    <row r="1148" spans="1:3" x14ac:dyDescent="0.45">
      <c r="A1148" s="1">
        <v>43151</v>
      </c>
      <c r="B1148" t="s">
        <v>10</v>
      </c>
      <c r="C1148" t="s">
        <v>9</v>
      </c>
    </row>
    <row r="1149" spans="1:3" x14ac:dyDescent="0.45">
      <c r="A1149" s="1">
        <v>43152</v>
      </c>
      <c r="B1149" t="s">
        <v>10</v>
      </c>
      <c r="C1149" t="s">
        <v>9</v>
      </c>
    </row>
    <row r="1150" spans="1:3" x14ac:dyDescent="0.45">
      <c r="A1150" s="1">
        <v>43153</v>
      </c>
      <c r="B1150" t="s">
        <v>10</v>
      </c>
      <c r="C1150" t="s">
        <v>9</v>
      </c>
    </row>
    <row r="1151" spans="1:3" x14ac:dyDescent="0.45">
      <c r="A1151" s="1">
        <v>43154</v>
      </c>
      <c r="B1151" t="s">
        <v>10</v>
      </c>
      <c r="C1151" t="s">
        <v>9</v>
      </c>
    </row>
    <row r="1152" spans="1:3" x14ac:dyDescent="0.45">
      <c r="A1152" s="1">
        <v>43155</v>
      </c>
      <c r="B1152" t="s">
        <v>10</v>
      </c>
      <c r="C1152" t="s">
        <v>9</v>
      </c>
    </row>
    <row r="1153" spans="1:3" x14ac:dyDescent="0.45">
      <c r="A1153" s="1">
        <v>43156</v>
      </c>
      <c r="B1153" t="s">
        <v>10</v>
      </c>
      <c r="C1153" t="s">
        <v>9</v>
      </c>
    </row>
    <row r="1154" spans="1:3" x14ac:dyDescent="0.45">
      <c r="A1154" s="1">
        <v>43157</v>
      </c>
      <c r="B1154" t="s">
        <v>10</v>
      </c>
      <c r="C1154" t="s">
        <v>9</v>
      </c>
    </row>
    <row r="1155" spans="1:3" x14ac:dyDescent="0.45">
      <c r="A1155" s="1">
        <v>43158</v>
      </c>
      <c r="B1155" t="s">
        <v>10</v>
      </c>
      <c r="C1155" t="s">
        <v>9</v>
      </c>
    </row>
    <row r="1156" spans="1:3" x14ac:dyDescent="0.45">
      <c r="A1156" s="1">
        <v>43159</v>
      </c>
      <c r="B1156" t="s">
        <v>10</v>
      </c>
      <c r="C1156" t="s">
        <v>9</v>
      </c>
    </row>
    <row r="1157" spans="1:3" x14ac:dyDescent="0.45">
      <c r="A1157" s="1">
        <v>43160</v>
      </c>
      <c r="B1157" t="s">
        <v>10</v>
      </c>
      <c r="C1157" t="s">
        <v>9</v>
      </c>
    </row>
    <row r="1158" spans="1:3" x14ac:dyDescent="0.45">
      <c r="A1158" s="1">
        <v>43161</v>
      </c>
      <c r="B1158" t="s">
        <v>10</v>
      </c>
      <c r="C1158" t="s">
        <v>9</v>
      </c>
    </row>
    <row r="1159" spans="1:3" x14ac:dyDescent="0.45">
      <c r="A1159" s="1">
        <v>43162</v>
      </c>
      <c r="B1159" t="s">
        <v>10</v>
      </c>
      <c r="C1159" t="s">
        <v>9</v>
      </c>
    </row>
    <row r="1160" spans="1:3" x14ac:dyDescent="0.45">
      <c r="A1160" s="1">
        <v>43163</v>
      </c>
      <c r="B1160" t="s">
        <v>10</v>
      </c>
      <c r="C1160" t="s">
        <v>9</v>
      </c>
    </row>
    <row r="1161" spans="1:3" x14ac:dyDescent="0.45">
      <c r="A1161" s="1">
        <v>43164</v>
      </c>
      <c r="B1161" t="s">
        <v>10</v>
      </c>
      <c r="C1161" t="s">
        <v>9</v>
      </c>
    </row>
    <row r="1162" spans="1:3" x14ac:dyDescent="0.45">
      <c r="A1162" s="1">
        <v>43165</v>
      </c>
      <c r="B1162" t="s">
        <v>10</v>
      </c>
      <c r="C1162" t="s">
        <v>9</v>
      </c>
    </row>
    <row r="1163" spans="1:3" x14ac:dyDescent="0.45">
      <c r="A1163" s="1">
        <v>43166</v>
      </c>
      <c r="B1163" t="s">
        <v>10</v>
      </c>
      <c r="C1163" t="s">
        <v>9</v>
      </c>
    </row>
    <row r="1164" spans="1:3" x14ac:dyDescent="0.45">
      <c r="A1164" s="1">
        <v>43167</v>
      </c>
      <c r="B1164" t="s">
        <v>10</v>
      </c>
      <c r="C1164" t="s">
        <v>9</v>
      </c>
    </row>
    <row r="1165" spans="1:3" x14ac:dyDescent="0.45">
      <c r="A1165" s="1">
        <v>43168</v>
      </c>
      <c r="B1165" t="s">
        <v>10</v>
      </c>
      <c r="C1165" t="s">
        <v>9</v>
      </c>
    </row>
    <row r="1166" spans="1:3" x14ac:dyDescent="0.45">
      <c r="A1166" s="1">
        <v>43169</v>
      </c>
      <c r="B1166" t="s">
        <v>10</v>
      </c>
      <c r="C1166" t="s">
        <v>9</v>
      </c>
    </row>
    <row r="1167" spans="1:3" x14ac:dyDescent="0.45">
      <c r="A1167" s="1">
        <v>43170</v>
      </c>
      <c r="B1167" t="s">
        <v>10</v>
      </c>
      <c r="C1167" t="s">
        <v>9</v>
      </c>
    </row>
    <row r="1168" spans="1:3" x14ac:dyDescent="0.45">
      <c r="A1168" s="1">
        <v>43171</v>
      </c>
      <c r="B1168" t="s">
        <v>10</v>
      </c>
      <c r="C1168" t="s">
        <v>10</v>
      </c>
    </row>
    <row r="1169" spans="1:3" x14ac:dyDescent="0.45">
      <c r="A1169" s="1">
        <v>43172</v>
      </c>
      <c r="B1169" t="s">
        <v>10</v>
      </c>
      <c r="C1169" t="s">
        <v>9</v>
      </c>
    </row>
    <row r="1170" spans="1:3" x14ac:dyDescent="0.45">
      <c r="A1170" s="1">
        <v>43173</v>
      </c>
      <c r="B1170" t="s">
        <v>10</v>
      </c>
      <c r="C1170" t="s">
        <v>9</v>
      </c>
    </row>
    <row r="1171" spans="1:3" x14ac:dyDescent="0.45">
      <c r="A1171" s="1">
        <v>43174</v>
      </c>
      <c r="B1171" t="s">
        <v>10</v>
      </c>
      <c r="C1171" t="s">
        <v>9</v>
      </c>
    </row>
    <row r="1172" spans="1:3" x14ac:dyDescent="0.45">
      <c r="A1172" s="1">
        <v>43175</v>
      </c>
      <c r="B1172" t="s">
        <v>10</v>
      </c>
      <c r="C1172" t="s">
        <v>9</v>
      </c>
    </row>
    <row r="1173" spans="1:3" x14ac:dyDescent="0.45">
      <c r="A1173" s="1">
        <v>43176</v>
      </c>
      <c r="B1173" t="s">
        <v>10</v>
      </c>
      <c r="C1173" t="s">
        <v>9</v>
      </c>
    </row>
    <row r="1174" spans="1:3" x14ac:dyDescent="0.45">
      <c r="A1174" s="1">
        <v>43177</v>
      </c>
      <c r="B1174" t="s">
        <v>10</v>
      </c>
      <c r="C1174" t="s">
        <v>9</v>
      </c>
    </row>
    <row r="1175" spans="1:3" x14ac:dyDescent="0.45">
      <c r="A1175" s="1">
        <v>43178</v>
      </c>
      <c r="B1175" t="s">
        <v>10</v>
      </c>
      <c r="C1175" t="s">
        <v>9</v>
      </c>
    </row>
    <row r="1176" spans="1:3" x14ac:dyDescent="0.45">
      <c r="A1176" s="1">
        <v>43179</v>
      </c>
      <c r="B1176" t="s">
        <v>10</v>
      </c>
      <c r="C1176" t="s">
        <v>9</v>
      </c>
    </row>
    <row r="1177" spans="1:3" x14ac:dyDescent="0.45">
      <c r="A1177" s="1">
        <v>43180</v>
      </c>
      <c r="B1177" t="s">
        <v>10</v>
      </c>
      <c r="C1177" t="s">
        <v>9</v>
      </c>
    </row>
    <row r="1178" spans="1:3" x14ac:dyDescent="0.45">
      <c r="A1178" s="1">
        <v>43181</v>
      </c>
      <c r="B1178" t="s">
        <v>10</v>
      </c>
      <c r="C1178" t="s">
        <v>9</v>
      </c>
    </row>
    <row r="1179" spans="1:3" x14ac:dyDescent="0.45">
      <c r="A1179" s="1">
        <v>43182</v>
      </c>
      <c r="B1179" t="s">
        <v>10</v>
      </c>
      <c r="C1179" t="s">
        <v>9</v>
      </c>
    </row>
    <row r="1180" spans="1:3" x14ac:dyDescent="0.45">
      <c r="A1180" s="1">
        <v>43183</v>
      </c>
      <c r="B1180" t="s">
        <v>10</v>
      </c>
      <c r="C1180" t="s">
        <v>9</v>
      </c>
    </row>
    <row r="1181" spans="1:3" x14ac:dyDescent="0.45">
      <c r="A1181" s="1">
        <v>43184</v>
      </c>
      <c r="B1181" t="s">
        <v>10</v>
      </c>
      <c r="C1181" t="s">
        <v>9</v>
      </c>
    </row>
    <row r="1182" spans="1:3" x14ac:dyDescent="0.45">
      <c r="A1182" s="1">
        <v>43185</v>
      </c>
      <c r="B1182" t="s">
        <v>10</v>
      </c>
      <c r="C1182" t="s">
        <v>9</v>
      </c>
    </row>
    <row r="1183" spans="1:3" x14ac:dyDescent="0.45">
      <c r="A1183" s="1">
        <v>43186</v>
      </c>
      <c r="B1183" t="s">
        <v>10</v>
      </c>
      <c r="C1183" t="s">
        <v>9</v>
      </c>
    </row>
    <row r="1184" spans="1:3" x14ac:dyDescent="0.45">
      <c r="A1184" s="1">
        <v>43187</v>
      </c>
      <c r="B1184" t="s">
        <v>10</v>
      </c>
      <c r="C1184" t="s">
        <v>9</v>
      </c>
    </row>
    <row r="1185" spans="1:3" x14ac:dyDescent="0.45">
      <c r="A1185" s="1">
        <v>43188</v>
      </c>
      <c r="B1185" t="s">
        <v>9</v>
      </c>
      <c r="C1185" t="s">
        <v>9</v>
      </c>
    </row>
    <row r="1186" spans="1:3" x14ac:dyDescent="0.45">
      <c r="A1186" s="1">
        <v>43189</v>
      </c>
      <c r="B1186" t="s">
        <v>9</v>
      </c>
      <c r="C1186" t="s">
        <v>10</v>
      </c>
    </row>
    <row r="1187" spans="1:3" x14ac:dyDescent="0.45">
      <c r="A1187" s="1">
        <v>43190</v>
      </c>
      <c r="B1187" t="s">
        <v>9</v>
      </c>
      <c r="C1187" t="s">
        <v>10</v>
      </c>
    </row>
    <row r="1188" spans="1:3" x14ac:dyDescent="0.45">
      <c r="A1188" s="1">
        <v>43191</v>
      </c>
      <c r="B1188" t="s">
        <v>9</v>
      </c>
      <c r="C1188" t="s">
        <v>10</v>
      </c>
    </row>
    <row r="1189" spans="1:3" x14ac:dyDescent="0.45">
      <c r="A1189" s="1">
        <v>43192</v>
      </c>
      <c r="B1189" t="s">
        <v>9</v>
      </c>
      <c r="C1189" t="s">
        <v>10</v>
      </c>
    </row>
    <row r="1190" spans="1:3" x14ac:dyDescent="0.45">
      <c r="A1190" s="1">
        <v>43193</v>
      </c>
      <c r="B1190" t="s">
        <v>9</v>
      </c>
      <c r="C1190" t="s">
        <v>9</v>
      </c>
    </row>
    <row r="1191" spans="1:3" x14ac:dyDescent="0.45">
      <c r="A1191" s="1">
        <v>43194</v>
      </c>
      <c r="B1191" t="s">
        <v>9</v>
      </c>
      <c r="C1191" t="s">
        <v>9</v>
      </c>
    </row>
    <row r="1192" spans="1:3" x14ac:dyDescent="0.45">
      <c r="A1192" s="1">
        <v>43195</v>
      </c>
      <c r="B1192" t="s">
        <v>9</v>
      </c>
      <c r="C1192" t="s">
        <v>9</v>
      </c>
    </row>
    <row r="1193" spans="1:3" x14ac:dyDescent="0.45">
      <c r="A1193" s="1">
        <v>43196</v>
      </c>
      <c r="B1193" t="s">
        <v>9</v>
      </c>
      <c r="C1193" t="s">
        <v>9</v>
      </c>
    </row>
    <row r="1194" spans="1:3" x14ac:dyDescent="0.45">
      <c r="A1194" s="1">
        <v>43197</v>
      </c>
      <c r="B1194" t="s">
        <v>9</v>
      </c>
      <c r="C1194" t="s">
        <v>9</v>
      </c>
    </row>
    <row r="1195" spans="1:3" x14ac:dyDescent="0.45">
      <c r="A1195" s="1">
        <v>43198</v>
      </c>
      <c r="B1195" t="s">
        <v>9</v>
      </c>
      <c r="C1195" t="s">
        <v>9</v>
      </c>
    </row>
    <row r="1196" spans="1:3" x14ac:dyDescent="0.45">
      <c r="A1196" s="1">
        <v>43199</v>
      </c>
      <c r="B1196" t="s">
        <v>9</v>
      </c>
      <c r="C1196" t="s">
        <v>9</v>
      </c>
    </row>
    <row r="1197" spans="1:3" x14ac:dyDescent="0.45">
      <c r="A1197" s="1">
        <v>43200</v>
      </c>
      <c r="B1197" t="s">
        <v>9</v>
      </c>
      <c r="C1197" t="s">
        <v>9</v>
      </c>
    </row>
    <row r="1198" spans="1:3" x14ac:dyDescent="0.45">
      <c r="A1198" s="1">
        <v>43201</v>
      </c>
      <c r="B1198" t="s">
        <v>9</v>
      </c>
      <c r="C1198" t="s">
        <v>9</v>
      </c>
    </row>
    <row r="1199" spans="1:3" x14ac:dyDescent="0.45">
      <c r="A1199" s="1">
        <v>43202</v>
      </c>
      <c r="B1199" t="s">
        <v>9</v>
      </c>
      <c r="C1199" t="s">
        <v>9</v>
      </c>
    </row>
    <row r="1200" spans="1:3" x14ac:dyDescent="0.45">
      <c r="A1200" s="1">
        <v>43203</v>
      </c>
      <c r="B1200" t="s">
        <v>9</v>
      </c>
      <c r="C1200" t="s">
        <v>9</v>
      </c>
    </row>
    <row r="1201" spans="1:3" x14ac:dyDescent="0.45">
      <c r="A1201" s="1">
        <v>43204</v>
      </c>
      <c r="B1201" t="s">
        <v>9</v>
      </c>
      <c r="C1201" t="s">
        <v>9</v>
      </c>
    </row>
    <row r="1202" spans="1:3" x14ac:dyDescent="0.45">
      <c r="A1202" s="1">
        <v>43205</v>
      </c>
      <c r="B1202" t="s">
        <v>9</v>
      </c>
      <c r="C1202" t="s">
        <v>9</v>
      </c>
    </row>
    <row r="1203" spans="1:3" x14ac:dyDescent="0.45">
      <c r="A1203" s="1">
        <v>43206</v>
      </c>
      <c r="B1203" t="s">
        <v>9</v>
      </c>
      <c r="C1203" t="s">
        <v>9</v>
      </c>
    </row>
    <row r="1204" spans="1:3" x14ac:dyDescent="0.45">
      <c r="A1204" s="1">
        <v>43207</v>
      </c>
      <c r="B1204" t="s">
        <v>10</v>
      </c>
      <c r="C1204" t="s">
        <v>9</v>
      </c>
    </row>
    <row r="1205" spans="1:3" x14ac:dyDescent="0.45">
      <c r="A1205" s="1">
        <v>43208</v>
      </c>
      <c r="B1205" t="s">
        <v>10</v>
      </c>
      <c r="C1205" t="s">
        <v>9</v>
      </c>
    </row>
    <row r="1206" spans="1:3" x14ac:dyDescent="0.45">
      <c r="A1206" s="1">
        <v>43209</v>
      </c>
      <c r="B1206" t="s">
        <v>10</v>
      </c>
      <c r="C1206" t="s">
        <v>9</v>
      </c>
    </row>
    <row r="1207" spans="1:3" x14ac:dyDescent="0.45">
      <c r="A1207" s="1">
        <v>43210</v>
      </c>
      <c r="B1207" t="s">
        <v>10</v>
      </c>
      <c r="C1207" t="s">
        <v>9</v>
      </c>
    </row>
    <row r="1208" spans="1:3" x14ac:dyDescent="0.45">
      <c r="A1208" s="1">
        <v>43211</v>
      </c>
      <c r="B1208" t="s">
        <v>10</v>
      </c>
      <c r="C1208" t="s">
        <v>9</v>
      </c>
    </row>
    <row r="1209" spans="1:3" x14ac:dyDescent="0.45">
      <c r="A1209" s="1">
        <v>43212</v>
      </c>
      <c r="B1209" t="s">
        <v>10</v>
      </c>
      <c r="C1209" t="s">
        <v>9</v>
      </c>
    </row>
    <row r="1210" spans="1:3" x14ac:dyDescent="0.45">
      <c r="A1210" s="1">
        <v>43213</v>
      </c>
      <c r="B1210" t="s">
        <v>10</v>
      </c>
      <c r="C1210" t="s">
        <v>9</v>
      </c>
    </row>
    <row r="1211" spans="1:3" x14ac:dyDescent="0.45">
      <c r="A1211" s="1">
        <v>43214</v>
      </c>
      <c r="B1211" t="s">
        <v>10</v>
      </c>
      <c r="C1211" t="s">
        <v>9</v>
      </c>
    </row>
    <row r="1212" spans="1:3" x14ac:dyDescent="0.45">
      <c r="A1212" s="1">
        <v>43215</v>
      </c>
      <c r="B1212" t="s">
        <v>10</v>
      </c>
      <c r="C1212" t="s">
        <v>10</v>
      </c>
    </row>
    <row r="1213" spans="1:3" x14ac:dyDescent="0.45">
      <c r="A1213" s="1">
        <v>43216</v>
      </c>
      <c r="B1213" t="s">
        <v>10</v>
      </c>
      <c r="C1213" t="s">
        <v>9</v>
      </c>
    </row>
    <row r="1214" spans="1:3" x14ac:dyDescent="0.45">
      <c r="A1214" s="1">
        <v>43217</v>
      </c>
      <c r="B1214" t="s">
        <v>10</v>
      </c>
      <c r="C1214" t="s">
        <v>9</v>
      </c>
    </row>
    <row r="1215" spans="1:3" x14ac:dyDescent="0.45">
      <c r="A1215" s="1">
        <v>43218</v>
      </c>
      <c r="B1215" t="s">
        <v>10</v>
      </c>
      <c r="C1215" t="s">
        <v>9</v>
      </c>
    </row>
    <row r="1216" spans="1:3" x14ac:dyDescent="0.45">
      <c r="A1216" s="1">
        <v>43219</v>
      </c>
      <c r="B1216" t="s">
        <v>10</v>
      </c>
      <c r="C1216" t="s">
        <v>9</v>
      </c>
    </row>
    <row r="1217" spans="1:3" x14ac:dyDescent="0.45">
      <c r="A1217" s="1">
        <v>43220</v>
      </c>
      <c r="B1217" t="s">
        <v>10</v>
      </c>
      <c r="C1217" t="s">
        <v>9</v>
      </c>
    </row>
    <row r="1218" spans="1:3" x14ac:dyDescent="0.45">
      <c r="A1218" s="1">
        <v>43221</v>
      </c>
      <c r="B1218" t="s">
        <v>10</v>
      </c>
      <c r="C1218" t="s">
        <v>9</v>
      </c>
    </row>
    <row r="1219" spans="1:3" x14ac:dyDescent="0.45">
      <c r="A1219" s="1">
        <v>43222</v>
      </c>
      <c r="B1219" t="s">
        <v>10</v>
      </c>
      <c r="C1219" t="s">
        <v>9</v>
      </c>
    </row>
    <row r="1220" spans="1:3" x14ac:dyDescent="0.45">
      <c r="A1220" s="1">
        <v>43223</v>
      </c>
      <c r="B1220" t="s">
        <v>10</v>
      </c>
      <c r="C1220" t="s">
        <v>9</v>
      </c>
    </row>
    <row r="1221" spans="1:3" x14ac:dyDescent="0.45">
      <c r="A1221" s="1">
        <v>43224</v>
      </c>
      <c r="B1221" t="s">
        <v>10</v>
      </c>
      <c r="C1221" t="s">
        <v>9</v>
      </c>
    </row>
    <row r="1222" spans="1:3" x14ac:dyDescent="0.45">
      <c r="A1222" s="1">
        <v>43225</v>
      </c>
      <c r="B1222" t="s">
        <v>10</v>
      </c>
      <c r="C1222" t="s">
        <v>9</v>
      </c>
    </row>
    <row r="1223" spans="1:3" x14ac:dyDescent="0.45">
      <c r="A1223" s="1">
        <v>43226</v>
      </c>
      <c r="B1223" t="s">
        <v>10</v>
      </c>
      <c r="C1223" t="s">
        <v>9</v>
      </c>
    </row>
    <row r="1224" spans="1:3" x14ac:dyDescent="0.45">
      <c r="A1224" s="1">
        <v>43227</v>
      </c>
      <c r="B1224" t="s">
        <v>10</v>
      </c>
      <c r="C1224" t="s">
        <v>9</v>
      </c>
    </row>
    <row r="1225" spans="1:3" x14ac:dyDescent="0.45">
      <c r="A1225" s="1">
        <v>43228</v>
      </c>
      <c r="B1225" t="s">
        <v>10</v>
      </c>
      <c r="C1225" t="s">
        <v>9</v>
      </c>
    </row>
    <row r="1226" spans="1:3" x14ac:dyDescent="0.45">
      <c r="A1226" s="1">
        <v>43229</v>
      </c>
      <c r="B1226" t="s">
        <v>10</v>
      </c>
      <c r="C1226" t="s">
        <v>9</v>
      </c>
    </row>
    <row r="1227" spans="1:3" x14ac:dyDescent="0.45">
      <c r="A1227" s="1">
        <v>43230</v>
      </c>
      <c r="B1227" t="s">
        <v>10</v>
      </c>
      <c r="C1227" t="s">
        <v>9</v>
      </c>
    </row>
    <row r="1228" spans="1:3" x14ac:dyDescent="0.45">
      <c r="A1228" s="1">
        <v>43231</v>
      </c>
      <c r="B1228" t="s">
        <v>10</v>
      </c>
      <c r="C1228" t="s">
        <v>9</v>
      </c>
    </row>
    <row r="1229" spans="1:3" x14ac:dyDescent="0.45">
      <c r="A1229" s="1">
        <v>43232</v>
      </c>
      <c r="B1229" t="s">
        <v>10</v>
      </c>
      <c r="C1229" t="s">
        <v>9</v>
      </c>
    </row>
    <row r="1230" spans="1:3" x14ac:dyDescent="0.45">
      <c r="A1230" s="1">
        <v>43233</v>
      </c>
      <c r="B1230" t="s">
        <v>10</v>
      </c>
      <c r="C1230" t="s">
        <v>9</v>
      </c>
    </row>
    <row r="1231" spans="1:3" x14ac:dyDescent="0.45">
      <c r="A1231" s="1">
        <v>43234</v>
      </c>
      <c r="B1231" t="s">
        <v>10</v>
      </c>
      <c r="C1231" t="s">
        <v>9</v>
      </c>
    </row>
    <row r="1232" spans="1:3" x14ac:dyDescent="0.45">
      <c r="A1232" s="1">
        <v>43235</v>
      </c>
      <c r="B1232" t="s">
        <v>10</v>
      </c>
      <c r="C1232" t="s">
        <v>9</v>
      </c>
    </row>
    <row r="1233" spans="1:3" x14ac:dyDescent="0.45">
      <c r="A1233" s="1">
        <v>43236</v>
      </c>
      <c r="B1233" t="s">
        <v>10</v>
      </c>
      <c r="C1233" t="s">
        <v>9</v>
      </c>
    </row>
    <row r="1234" spans="1:3" x14ac:dyDescent="0.45">
      <c r="A1234" s="1">
        <v>43237</v>
      </c>
      <c r="B1234" t="s">
        <v>10</v>
      </c>
      <c r="C1234" t="s">
        <v>9</v>
      </c>
    </row>
    <row r="1235" spans="1:3" x14ac:dyDescent="0.45">
      <c r="A1235" s="1">
        <v>43238</v>
      </c>
      <c r="B1235" t="s">
        <v>10</v>
      </c>
      <c r="C1235" t="s">
        <v>9</v>
      </c>
    </row>
    <row r="1236" spans="1:3" x14ac:dyDescent="0.45">
      <c r="A1236" s="1">
        <v>43239</v>
      </c>
      <c r="B1236" t="s">
        <v>10</v>
      </c>
      <c r="C1236" t="s">
        <v>9</v>
      </c>
    </row>
    <row r="1237" spans="1:3" x14ac:dyDescent="0.45">
      <c r="A1237" s="1">
        <v>43240</v>
      </c>
      <c r="B1237" t="s">
        <v>10</v>
      </c>
      <c r="C1237" t="s">
        <v>9</v>
      </c>
    </row>
    <row r="1238" spans="1:3" x14ac:dyDescent="0.45">
      <c r="A1238" s="1">
        <v>43241</v>
      </c>
      <c r="B1238" t="s">
        <v>10</v>
      </c>
      <c r="C1238" t="s">
        <v>9</v>
      </c>
    </row>
    <row r="1239" spans="1:3" x14ac:dyDescent="0.45">
      <c r="A1239" s="1">
        <v>43242</v>
      </c>
      <c r="B1239" t="s">
        <v>10</v>
      </c>
      <c r="C1239" t="s">
        <v>9</v>
      </c>
    </row>
    <row r="1240" spans="1:3" x14ac:dyDescent="0.45">
      <c r="A1240" s="1">
        <v>43243</v>
      </c>
      <c r="B1240" t="s">
        <v>10</v>
      </c>
      <c r="C1240" t="s">
        <v>9</v>
      </c>
    </row>
    <row r="1241" spans="1:3" x14ac:dyDescent="0.45">
      <c r="A1241" s="1">
        <v>43244</v>
      </c>
      <c r="B1241" t="s">
        <v>10</v>
      </c>
      <c r="C1241" t="s">
        <v>9</v>
      </c>
    </row>
    <row r="1242" spans="1:3" x14ac:dyDescent="0.45">
      <c r="A1242" s="1">
        <v>43245</v>
      </c>
      <c r="B1242" t="s">
        <v>10</v>
      </c>
      <c r="C1242" t="s">
        <v>9</v>
      </c>
    </row>
    <row r="1243" spans="1:3" x14ac:dyDescent="0.45">
      <c r="A1243" s="1">
        <v>43246</v>
      </c>
      <c r="B1243" t="s">
        <v>10</v>
      </c>
      <c r="C1243" t="s">
        <v>9</v>
      </c>
    </row>
    <row r="1244" spans="1:3" x14ac:dyDescent="0.45">
      <c r="A1244" s="1">
        <v>43247</v>
      </c>
      <c r="B1244" t="s">
        <v>10</v>
      </c>
      <c r="C1244" t="s">
        <v>9</v>
      </c>
    </row>
    <row r="1245" spans="1:3" x14ac:dyDescent="0.45">
      <c r="A1245" s="1">
        <v>43248</v>
      </c>
      <c r="B1245" t="s">
        <v>10</v>
      </c>
      <c r="C1245" t="s">
        <v>9</v>
      </c>
    </row>
    <row r="1246" spans="1:3" x14ac:dyDescent="0.45">
      <c r="A1246" s="1">
        <v>43249</v>
      </c>
      <c r="B1246" t="s">
        <v>10</v>
      </c>
      <c r="C1246" t="s">
        <v>9</v>
      </c>
    </row>
    <row r="1247" spans="1:3" x14ac:dyDescent="0.45">
      <c r="A1247" s="1">
        <v>43250</v>
      </c>
      <c r="B1247" t="s">
        <v>10</v>
      </c>
      <c r="C1247" t="s">
        <v>9</v>
      </c>
    </row>
    <row r="1248" spans="1:3" x14ac:dyDescent="0.45">
      <c r="A1248" s="1">
        <v>43251</v>
      </c>
      <c r="B1248" t="s">
        <v>10</v>
      </c>
      <c r="C1248" t="s">
        <v>9</v>
      </c>
    </row>
    <row r="1249" spans="1:3" x14ac:dyDescent="0.45">
      <c r="A1249" s="1">
        <v>43252</v>
      </c>
      <c r="B1249" t="s">
        <v>10</v>
      </c>
      <c r="C1249" t="s">
        <v>9</v>
      </c>
    </row>
    <row r="1250" spans="1:3" x14ac:dyDescent="0.45">
      <c r="A1250" s="1">
        <v>43253</v>
      </c>
      <c r="B1250" t="s">
        <v>10</v>
      </c>
      <c r="C1250" t="s">
        <v>9</v>
      </c>
    </row>
    <row r="1251" spans="1:3" x14ac:dyDescent="0.45">
      <c r="A1251" s="1">
        <v>43254</v>
      </c>
      <c r="B1251" t="s">
        <v>10</v>
      </c>
      <c r="C1251" t="s">
        <v>9</v>
      </c>
    </row>
    <row r="1252" spans="1:3" x14ac:dyDescent="0.45">
      <c r="A1252" s="1">
        <v>43255</v>
      </c>
      <c r="B1252" t="s">
        <v>10</v>
      </c>
      <c r="C1252" t="s">
        <v>9</v>
      </c>
    </row>
    <row r="1253" spans="1:3" x14ac:dyDescent="0.45">
      <c r="A1253" s="1">
        <v>43256</v>
      </c>
      <c r="B1253" t="s">
        <v>10</v>
      </c>
      <c r="C1253" t="s">
        <v>9</v>
      </c>
    </row>
    <row r="1254" spans="1:3" x14ac:dyDescent="0.45">
      <c r="A1254" s="1">
        <v>43257</v>
      </c>
      <c r="B1254" t="s">
        <v>10</v>
      </c>
      <c r="C1254" t="s">
        <v>9</v>
      </c>
    </row>
    <row r="1255" spans="1:3" x14ac:dyDescent="0.45">
      <c r="A1255" s="1">
        <v>43258</v>
      </c>
      <c r="B1255" t="s">
        <v>10</v>
      </c>
      <c r="C1255" t="s">
        <v>9</v>
      </c>
    </row>
    <row r="1256" spans="1:3" x14ac:dyDescent="0.45">
      <c r="A1256" s="1">
        <v>43259</v>
      </c>
      <c r="B1256" t="s">
        <v>10</v>
      </c>
      <c r="C1256" t="s">
        <v>9</v>
      </c>
    </row>
    <row r="1257" spans="1:3" x14ac:dyDescent="0.45">
      <c r="A1257" s="1">
        <v>43260</v>
      </c>
      <c r="B1257" t="s">
        <v>10</v>
      </c>
      <c r="C1257" t="s">
        <v>9</v>
      </c>
    </row>
    <row r="1258" spans="1:3" x14ac:dyDescent="0.45">
      <c r="A1258" s="1">
        <v>43261</v>
      </c>
      <c r="B1258" t="s">
        <v>10</v>
      </c>
      <c r="C1258" t="s">
        <v>9</v>
      </c>
    </row>
    <row r="1259" spans="1:3" x14ac:dyDescent="0.45">
      <c r="A1259" s="1">
        <v>43262</v>
      </c>
      <c r="B1259" t="s">
        <v>10</v>
      </c>
      <c r="C1259" t="s">
        <v>10</v>
      </c>
    </row>
    <row r="1260" spans="1:3" x14ac:dyDescent="0.45">
      <c r="A1260" s="1">
        <v>43263</v>
      </c>
      <c r="B1260" t="s">
        <v>10</v>
      </c>
      <c r="C1260" t="s">
        <v>9</v>
      </c>
    </row>
    <row r="1261" spans="1:3" x14ac:dyDescent="0.45">
      <c r="A1261" s="1">
        <v>43264</v>
      </c>
      <c r="B1261" t="s">
        <v>10</v>
      </c>
      <c r="C1261" t="s">
        <v>9</v>
      </c>
    </row>
    <row r="1262" spans="1:3" x14ac:dyDescent="0.45">
      <c r="A1262" s="1">
        <v>43265</v>
      </c>
      <c r="B1262" t="s">
        <v>10</v>
      </c>
      <c r="C1262" t="s">
        <v>9</v>
      </c>
    </row>
    <row r="1263" spans="1:3" x14ac:dyDescent="0.45">
      <c r="A1263" s="1">
        <v>43266</v>
      </c>
      <c r="B1263" t="s">
        <v>10</v>
      </c>
      <c r="C1263" t="s">
        <v>9</v>
      </c>
    </row>
    <row r="1264" spans="1:3" x14ac:dyDescent="0.45">
      <c r="A1264" s="1">
        <v>43267</v>
      </c>
      <c r="B1264" t="s">
        <v>10</v>
      </c>
      <c r="C1264" t="s">
        <v>9</v>
      </c>
    </row>
    <row r="1265" spans="1:3" x14ac:dyDescent="0.45">
      <c r="A1265" s="1">
        <v>43268</v>
      </c>
      <c r="B1265" t="s">
        <v>10</v>
      </c>
      <c r="C1265" t="s">
        <v>9</v>
      </c>
    </row>
    <row r="1266" spans="1:3" x14ac:dyDescent="0.45">
      <c r="A1266" s="1">
        <v>43269</v>
      </c>
      <c r="B1266" t="s">
        <v>10</v>
      </c>
      <c r="C1266" t="s">
        <v>9</v>
      </c>
    </row>
    <row r="1267" spans="1:3" x14ac:dyDescent="0.45">
      <c r="A1267" s="1">
        <v>43270</v>
      </c>
      <c r="B1267" t="s">
        <v>10</v>
      </c>
      <c r="C1267" t="s">
        <v>9</v>
      </c>
    </row>
    <row r="1268" spans="1:3" x14ac:dyDescent="0.45">
      <c r="A1268" s="1">
        <v>43271</v>
      </c>
      <c r="B1268" t="s">
        <v>10</v>
      </c>
      <c r="C1268" t="s">
        <v>9</v>
      </c>
    </row>
    <row r="1269" spans="1:3" x14ac:dyDescent="0.45">
      <c r="A1269" s="1">
        <v>43272</v>
      </c>
      <c r="B1269" t="s">
        <v>10</v>
      </c>
      <c r="C1269" t="s">
        <v>9</v>
      </c>
    </row>
    <row r="1270" spans="1:3" x14ac:dyDescent="0.45">
      <c r="A1270" s="1">
        <v>43273</v>
      </c>
      <c r="B1270" t="s">
        <v>10</v>
      </c>
      <c r="C1270" t="s">
        <v>9</v>
      </c>
    </row>
    <row r="1271" spans="1:3" x14ac:dyDescent="0.45">
      <c r="A1271" s="1">
        <v>43274</v>
      </c>
      <c r="B1271" t="s">
        <v>10</v>
      </c>
      <c r="C1271" t="s">
        <v>9</v>
      </c>
    </row>
    <row r="1272" spans="1:3" x14ac:dyDescent="0.45">
      <c r="A1272" s="1">
        <v>43275</v>
      </c>
      <c r="B1272" t="s">
        <v>10</v>
      </c>
      <c r="C1272" t="s">
        <v>9</v>
      </c>
    </row>
    <row r="1273" spans="1:3" x14ac:dyDescent="0.45">
      <c r="A1273" s="1">
        <v>43276</v>
      </c>
      <c r="B1273" t="s">
        <v>10</v>
      </c>
      <c r="C1273" t="s">
        <v>9</v>
      </c>
    </row>
    <row r="1274" spans="1:3" x14ac:dyDescent="0.45">
      <c r="A1274" s="1">
        <v>43277</v>
      </c>
      <c r="B1274" t="s">
        <v>10</v>
      </c>
      <c r="C1274" t="s">
        <v>9</v>
      </c>
    </row>
    <row r="1275" spans="1:3" x14ac:dyDescent="0.45">
      <c r="A1275" s="1">
        <v>43278</v>
      </c>
      <c r="B1275" t="s">
        <v>10</v>
      </c>
      <c r="C1275" t="s">
        <v>9</v>
      </c>
    </row>
    <row r="1276" spans="1:3" x14ac:dyDescent="0.45">
      <c r="A1276" s="1">
        <v>43279</v>
      </c>
      <c r="B1276" t="s">
        <v>10</v>
      </c>
      <c r="C1276" t="s">
        <v>9</v>
      </c>
    </row>
    <row r="1277" spans="1:3" x14ac:dyDescent="0.45">
      <c r="A1277" s="1">
        <v>43280</v>
      </c>
      <c r="B1277" t="s">
        <v>9</v>
      </c>
      <c r="C1277" t="s">
        <v>9</v>
      </c>
    </row>
    <row r="1278" spans="1:3" x14ac:dyDescent="0.45">
      <c r="A1278" s="1">
        <v>43281</v>
      </c>
      <c r="B1278" t="s">
        <v>9</v>
      </c>
      <c r="C1278" t="s">
        <v>9</v>
      </c>
    </row>
    <row r="1279" spans="1:3" x14ac:dyDescent="0.45">
      <c r="A1279" s="1">
        <v>43282</v>
      </c>
      <c r="B1279" t="s">
        <v>9</v>
      </c>
      <c r="C1279" t="s">
        <v>9</v>
      </c>
    </row>
    <row r="1280" spans="1:3" x14ac:dyDescent="0.45">
      <c r="A1280" s="1">
        <v>43283</v>
      </c>
      <c r="B1280" t="s">
        <v>9</v>
      </c>
      <c r="C1280" t="s">
        <v>9</v>
      </c>
    </row>
    <row r="1281" spans="1:3" x14ac:dyDescent="0.45">
      <c r="A1281" s="1">
        <v>43284</v>
      </c>
      <c r="B1281" t="s">
        <v>9</v>
      </c>
      <c r="C1281" t="s">
        <v>9</v>
      </c>
    </row>
    <row r="1282" spans="1:3" x14ac:dyDescent="0.45">
      <c r="A1282" s="1">
        <v>43285</v>
      </c>
      <c r="B1282" t="s">
        <v>9</v>
      </c>
      <c r="C1282" t="s">
        <v>9</v>
      </c>
    </row>
    <row r="1283" spans="1:3" x14ac:dyDescent="0.45">
      <c r="A1283" s="1">
        <v>43286</v>
      </c>
      <c r="B1283" t="s">
        <v>9</v>
      </c>
      <c r="C1283" t="s">
        <v>9</v>
      </c>
    </row>
    <row r="1284" spans="1:3" x14ac:dyDescent="0.45">
      <c r="A1284" s="1">
        <v>43287</v>
      </c>
      <c r="B1284" t="s">
        <v>9</v>
      </c>
      <c r="C1284" t="s">
        <v>9</v>
      </c>
    </row>
    <row r="1285" spans="1:3" x14ac:dyDescent="0.45">
      <c r="A1285" s="1">
        <v>43288</v>
      </c>
      <c r="B1285" t="s">
        <v>9</v>
      </c>
      <c r="C1285" t="s">
        <v>9</v>
      </c>
    </row>
    <row r="1286" spans="1:3" x14ac:dyDescent="0.45">
      <c r="A1286" s="1">
        <v>43289</v>
      </c>
      <c r="B1286" t="s">
        <v>9</v>
      </c>
      <c r="C1286" t="s">
        <v>9</v>
      </c>
    </row>
    <row r="1287" spans="1:3" x14ac:dyDescent="0.45">
      <c r="A1287" s="1">
        <v>43290</v>
      </c>
      <c r="B1287" t="s">
        <v>9</v>
      </c>
      <c r="C1287" t="s">
        <v>9</v>
      </c>
    </row>
    <row r="1288" spans="1:3" x14ac:dyDescent="0.45">
      <c r="A1288" s="1">
        <v>43291</v>
      </c>
      <c r="B1288" t="s">
        <v>9</v>
      </c>
      <c r="C1288" t="s">
        <v>9</v>
      </c>
    </row>
    <row r="1289" spans="1:3" x14ac:dyDescent="0.45">
      <c r="A1289" s="1">
        <v>43292</v>
      </c>
      <c r="B1289" t="s">
        <v>9</v>
      </c>
      <c r="C1289" t="s">
        <v>9</v>
      </c>
    </row>
    <row r="1290" spans="1:3" x14ac:dyDescent="0.45">
      <c r="A1290" s="1">
        <v>43293</v>
      </c>
      <c r="B1290" t="s">
        <v>9</v>
      </c>
      <c r="C1290" t="s">
        <v>9</v>
      </c>
    </row>
    <row r="1291" spans="1:3" x14ac:dyDescent="0.45">
      <c r="A1291" s="1">
        <v>43294</v>
      </c>
      <c r="B1291" t="s">
        <v>9</v>
      </c>
      <c r="C1291" t="s">
        <v>9</v>
      </c>
    </row>
    <row r="1292" spans="1:3" x14ac:dyDescent="0.45">
      <c r="A1292" s="1">
        <v>43295</v>
      </c>
      <c r="B1292" t="s">
        <v>9</v>
      </c>
      <c r="C1292" t="s">
        <v>9</v>
      </c>
    </row>
    <row r="1293" spans="1:3" x14ac:dyDescent="0.45">
      <c r="A1293" s="1">
        <v>43296</v>
      </c>
      <c r="B1293" t="s">
        <v>9</v>
      </c>
      <c r="C1293" t="s">
        <v>9</v>
      </c>
    </row>
    <row r="1294" spans="1:3" x14ac:dyDescent="0.45">
      <c r="A1294" s="1">
        <v>43297</v>
      </c>
      <c r="B1294" t="s">
        <v>9</v>
      </c>
      <c r="C1294" t="s">
        <v>9</v>
      </c>
    </row>
    <row r="1295" spans="1:3" x14ac:dyDescent="0.45">
      <c r="A1295" s="1">
        <v>43298</v>
      </c>
      <c r="B1295" t="s">
        <v>10</v>
      </c>
      <c r="C1295" t="s">
        <v>9</v>
      </c>
    </row>
    <row r="1296" spans="1:3" x14ac:dyDescent="0.45">
      <c r="A1296" s="1">
        <v>43299</v>
      </c>
      <c r="B1296" t="s">
        <v>10</v>
      </c>
      <c r="C1296" t="s">
        <v>9</v>
      </c>
    </row>
    <row r="1297" spans="1:3" x14ac:dyDescent="0.45">
      <c r="A1297" s="1">
        <v>43300</v>
      </c>
      <c r="B1297" t="s">
        <v>10</v>
      </c>
      <c r="C1297" t="s">
        <v>9</v>
      </c>
    </row>
    <row r="1298" spans="1:3" x14ac:dyDescent="0.45">
      <c r="A1298" s="1">
        <v>43301</v>
      </c>
      <c r="B1298" t="s">
        <v>10</v>
      </c>
      <c r="C1298" t="s">
        <v>9</v>
      </c>
    </row>
    <row r="1299" spans="1:3" x14ac:dyDescent="0.45">
      <c r="A1299" s="1">
        <v>43302</v>
      </c>
      <c r="B1299" t="s">
        <v>10</v>
      </c>
      <c r="C1299" t="s">
        <v>9</v>
      </c>
    </row>
    <row r="1300" spans="1:3" x14ac:dyDescent="0.45">
      <c r="A1300" s="1">
        <v>43303</v>
      </c>
      <c r="B1300" t="s">
        <v>10</v>
      </c>
      <c r="C1300" t="s">
        <v>9</v>
      </c>
    </row>
    <row r="1301" spans="1:3" x14ac:dyDescent="0.45">
      <c r="A1301" s="1">
        <v>43304</v>
      </c>
      <c r="B1301" t="s">
        <v>10</v>
      </c>
      <c r="C1301" t="s">
        <v>9</v>
      </c>
    </row>
    <row r="1302" spans="1:3" x14ac:dyDescent="0.45">
      <c r="A1302" s="1">
        <v>43305</v>
      </c>
      <c r="B1302" t="s">
        <v>10</v>
      </c>
      <c r="C1302" t="s">
        <v>9</v>
      </c>
    </row>
    <row r="1303" spans="1:3" x14ac:dyDescent="0.45">
      <c r="A1303" s="1">
        <v>43306</v>
      </c>
      <c r="B1303" t="s">
        <v>10</v>
      </c>
      <c r="C1303" t="s">
        <v>9</v>
      </c>
    </row>
    <row r="1304" spans="1:3" x14ac:dyDescent="0.45">
      <c r="A1304" s="1">
        <v>43307</v>
      </c>
      <c r="B1304" t="s">
        <v>10</v>
      </c>
      <c r="C1304" t="s">
        <v>9</v>
      </c>
    </row>
    <row r="1305" spans="1:3" x14ac:dyDescent="0.45">
      <c r="A1305" s="1">
        <v>43308</v>
      </c>
      <c r="B1305" t="s">
        <v>10</v>
      </c>
      <c r="C1305" t="s">
        <v>9</v>
      </c>
    </row>
    <row r="1306" spans="1:3" x14ac:dyDescent="0.45">
      <c r="A1306" s="1">
        <v>43309</v>
      </c>
      <c r="B1306" t="s">
        <v>10</v>
      </c>
      <c r="C1306" t="s">
        <v>9</v>
      </c>
    </row>
    <row r="1307" spans="1:3" x14ac:dyDescent="0.45">
      <c r="A1307" s="1">
        <v>43310</v>
      </c>
      <c r="B1307" t="s">
        <v>10</v>
      </c>
      <c r="C1307" t="s">
        <v>9</v>
      </c>
    </row>
    <row r="1308" spans="1:3" x14ac:dyDescent="0.45">
      <c r="A1308" s="1">
        <v>43311</v>
      </c>
      <c r="B1308" t="s">
        <v>10</v>
      </c>
      <c r="C1308" t="s">
        <v>9</v>
      </c>
    </row>
    <row r="1309" spans="1:3" x14ac:dyDescent="0.45">
      <c r="A1309" s="1">
        <v>43312</v>
      </c>
      <c r="B1309" t="s">
        <v>10</v>
      </c>
      <c r="C1309" t="s">
        <v>9</v>
      </c>
    </row>
    <row r="1310" spans="1:3" x14ac:dyDescent="0.45">
      <c r="A1310" s="1">
        <v>43313</v>
      </c>
      <c r="B1310" t="s">
        <v>10</v>
      </c>
      <c r="C1310" t="s">
        <v>9</v>
      </c>
    </row>
    <row r="1311" spans="1:3" x14ac:dyDescent="0.45">
      <c r="A1311" s="1">
        <v>43314</v>
      </c>
      <c r="B1311" t="s">
        <v>10</v>
      </c>
      <c r="C1311" t="s">
        <v>9</v>
      </c>
    </row>
    <row r="1312" spans="1:3" x14ac:dyDescent="0.45">
      <c r="A1312" s="1">
        <v>43315</v>
      </c>
      <c r="B1312" t="s">
        <v>10</v>
      </c>
      <c r="C1312" t="s">
        <v>9</v>
      </c>
    </row>
    <row r="1313" spans="1:3" x14ac:dyDescent="0.45">
      <c r="A1313" s="1">
        <v>43316</v>
      </c>
      <c r="B1313" t="s">
        <v>10</v>
      </c>
      <c r="C1313" t="s">
        <v>9</v>
      </c>
    </row>
    <row r="1314" spans="1:3" x14ac:dyDescent="0.45">
      <c r="A1314" s="1">
        <v>43317</v>
      </c>
      <c r="B1314" t="s">
        <v>10</v>
      </c>
      <c r="C1314" t="s">
        <v>9</v>
      </c>
    </row>
    <row r="1315" spans="1:3" x14ac:dyDescent="0.45">
      <c r="A1315" s="1">
        <v>43318</v>
      </c>
      <c r="B1315" t="s">
        <v>10</v>
      </c>
      <c r="C1315" t="s">
        <v>9</v>
      </c>
    </row>
    <row r="1316" spans="1:3" x14ac:dyDescent="0.45">
      <c r="A1316" s="1">
        <v>43319</v>
      </c>
      <c r="B1316" t="s">
        <v>10</v>
      </c>
      <c r="C1316" t="s">
        <v>9</v>
      </c>
    </row>
    <row r="1317" spans="1:3" x14ac:dyDescent="0.45">
      <c r="A1317" s="1">
        <v>43320</v>
      </c>
      <c r="B1317" t="s">
        <v>10</v>
      </c>
      <c r="C1317" t="s">
        <v>9</v>
      </c>
    </row>
    <row r="1318" spans="1:3" x14ac:dyDescent="0.45">
      <c r="A1318" s="1">
        <v>43321</v>
      </c>
      <c r="B1318" t="s">
        <v>10</v>
      </c>
      <c r="C1318" t="s">
        <v>9</v>
      </c>
    </row>
    <row r="1319" spans="1:3" x14ac:dyDescent="0.45">
      <c r="A1319" s="1">
        <v>43322</v>
      </c>
      <c r="B1319" t="s">
        <v>10</v>
      </c>
      <c r="C1319" t="s">
        <v>9</v>
      </c>
    </row>
    <row r="1320" spans="1:3" x14ac:dyDescent="0.45">
      <c r="A1320" s="1">
        <v>43323</v>
      </c>
      <c r="B1320" t="s">
        <v>10</v>
      </c>
      <c r="C1320" t="s">
        <v>9</v>
      </c>
    </row>
    <row r="1321" spans="1:3" x14ac:dyDescent="0.45">
      <c r="A1321" s="1">
        <v>43324</v>
      </c>
      <c r="B1321" t="s">
        <v>10</v>
      </c>
      <c r="C1321" t="s">
        <v>9</v>
      </c>
    </row>
    <row r="1322" spans="1:3" x14ac:dyDescent="0.45">
      <c r="A1322" s="1">
        <v>43325</v>
      </c>
      <c r="B1322" t="s">
        <v>10</v>
      </c>
      <c r="C1322" t="s">
        <v>9</v>
      </c>
    </row>
    <row r="1323" spans="1:3" x14ac:dyDescent="0.45">
      <c r="A1323" s="1">
        <v>43326</v>
      </c>
      <c r="B1323" t="s">
        <v>10</v>
      </c>
      <c r="C1323" t="s">
        <v>9</v>
      </c>
    </row>
    <row r="1324" spans="1:3" x14ac:dyDescent="0.45">
      <c r="A1324" s="1">
        <v>43327</v>
      </c>
      <c r="B1324" t="s">
        <v>10</v>
      </c>
      <c r="C1324" t="s">
        <v>9</v>
      </c>
    </row>
    <row r="1325" spans="1:3" x14ac:dyDescent="0.45">
      <c r="A1325" s="1">
        <v>43328</v>
      </c>
      <c r="B1325" t="s">
        <v>10</v>
      </c>
      <c r="C1325" t="s">
        <v>9</v>
      </c>
    </row>
    <row r="1326" spans="1:3" x14ac:dyDescent="0.45">
      <c r="A1326" s="1">
        <v>43329</v>
      </c>
      <c r="B1326" t="s">
        <v>10</v>
      </c>
      <c r="C1326" t="s">
        <v>9</v>
      </c>
    </row>
    <row r="1327" spans="1:3" x14ac:dyDescent="0.45">
      <c r="A1327" s="1">
        <v>43330</v>
      </c>
      <c r="B1327" t="s">
        <v>10</v>
      </c>
      <c r="C1327" t="s">
        <v>9</v>
      </c>
    </row>
    <row r="1328" spans="1:3" x14ac:dyDescent="0.45">
      <c r="A1328" s="1">
        <v>43331</v>
      </c>
      <c r="B1328" t="s">
        <v>10</v>
      </c>
      <c r="C1328" t="s">
        <v>9</v>
      </c>
    </row>
    <row r="1329" spans="1:3" x14ac:dyDescent="0.45">
      <c r="A1329" s="1">
        <v>43332</v>
      </c>
      <c r="B1329" t="s">
        <v>10</v>
      </c>
      <c r="C1329" t="s">
        <v>9</v>
      </c>
    </row>
    <row r="1330" spans="1:3" x14ac:dyDescent="0.45">
      <c r="A1330" s="1">
        <v>43333</v>
      </c>
      <c r="B1330" t="s">
        <v>10</v>
      </c>
      <c r="C1330" t="s">
        <v>9</v>
      </c>
    </row>
    <row r="1331" spans="1:3" x14ac:dyDescent="0.45">
      <c r="A1331" s="1">
        <v>43334</v>
      </c>
      <c r="B1331" t="s">
        <v>10</v>
      </c>
      <c r="C1331" t="s">
        <v>9</v>
      </c>
    </row>
    <row r="1332" spans="1:3" x14ac:dyDescent="0.45">
      <c r="A1332" s="1">
        <v>43335</v>
      </c>
      <c r="B1332" t="s">
        <v>10</v>
      </c>
      <c r="C1332" t="s">
        <v>9</v>
      </c>
    </row>
    <row r="1333" spans="1:3" x14ac:dyDescent="0.45">
      <c r="A1333" s="1">
        <v>43336</v>
      </c>
      <c r="B1333" t="s">
        <v>10</v>
      </c>
      <c r="C1333" t="s">
        <v>9</v>
      </c>
    </row>
    <row r="1334" spans="1:3" x14ac:dyDescent="0.45">
      <c r="A1334" s="1">
        <v>43337</v>
      </c>
      <c r="B1334" t="s">
        <v>10</v>
      </c>
      <c r="C1334" t="s">
        <v>9</v>
      </c>
    </row>
    <row r="1335" spans="1:3" x14ac:dyDescent="0.45">
      <c r="A1335" s="1">
        <v>43338</v>
      </c>
      <c r="B1335" t="s">
        <v>10</v>
      </c>
      <c r="C1335" t="s">
        <v>9</v>
      </c>
    </row>
    <row r="1336" spans="1:3" x14ac:dyDescent="0.45">
      <c r="A1336" s="1">
        <v>43339</v>
      </c>
      <c r="B1336" t="s">
        <v>10</v>
      </c>
      <c r="C1336" t="s">
        <v>9</v>
      </c>
    </row>
    <row r="1337" spans="1:3" x14ac:dyDescent="0.45">
      <c r="A1337" s="1">
        <v>43340</v>
      </c>
      <c r="B1337" t="s">
        <v>10</v>
      </c>
      <c r="C1337" t="s">
        <v>9</v>
      </c>
    </row>
    <row r="1338" spans="1:3" x14ac:dyDescent="0.45">
      <c r="A1338" s="1">
        <v>43341</v>
      </c>
      <c r="B1338" t="s">
        <v>10</v>
      </c>
      <c r="C1338" t="s">
        <v>9</v>
      </c>
    </row>
    <row r="1339" spans="1:3" x14ac:dyDescent="0.45">
      <c r="A1339" s="1">
        <v>43342</v>
      </c>
      <c r="B1339" t="s">
        <v>10</v>
      </c>
      <c r="C1339" t="s">
        <v>9</v>
      </c>
    </row>
    <row r="1340" spans="1:3" x14ac:dyDescent="0.45">
      <c r="A1340" s="1">
        <v>43343</v>
      </c>
      <c r="B1340" t="s">
        <v>10</v>
      </c>
      <c r="C1340" t="s">
        <v>9</v>
      </c>
    </row>
    <row r="1341" spans="1:3" x14ac:dyDescent="0.45">
      <c r="A1341" s="1">
        <v>43344</v>
      </c>
      <c r="B1341" t="s">
        <v>10</v>
      </c>
      <c r="C1341" t="s">
        <v>9</v>
      </c>
    </row>
    <row r="1342" spans="1:3" x14ac:dyDescent="0.45">
      <c r="A1342" s="1">
        <v>43345</v>
      </c>
      <c r="B1342" t="s">
        <v>10</v>
      </c>
      <c r="C1342" t="s">
        <v>9</v>
      </c>
    </row>
    <row r="1343" spans="1:3" x14ac:dyDescent="0.45">
      <c r="A1343" s="1">
        <v>43346</v>
      </c>
      <c r="B1343" t="s">
        <v>10</v>
      </c>
      <c r="C1343" t="s">
        <v>9</v>
      </c>
    </row>
    <row r="1344" spans="1:3" x14ac:dyDescent="0.45">
      <c r="A1344" s="1">
        <v>43347</v>
      </c>
      <c r="B1344" t="s">
        <v>10</v>
      </c>
      <c r="C1344" t="s">
        <v>9</v>
      </c>
    </row>
    <row r="1345" spans="1:3" x14ac:dyDescent="0.45">
      <c r="A1345" s="1">
        <v>43348</v>
      </c>
      <c r="B1345" t="s">
        <v>10</v>
      </c>
      <c r="C1345" t="s">
        <v>9</v>
      </c>
    </row>
    <row r="1346" spans="1:3" x14ac:dyDescent="0.45">
      <c r="A1346" s="1">
        <v>43349</v>
      </c>
      <c r="B1346" t="s">
        <v>10</v>
      </c>
      <c r="C1346" t="s">
        <v>9</v>
      </c>
    </row>
    <row r="1347" spans="1:3" x14ac:dyDescent="0.45">
      <c r="A1347" s="1">
        <v>43350</v>
      </c>
      <c r="B1347" t="s">
        <v>10</v>
      </c>
      <c r="C1347" t="s">
        <v>9</v>
      </c>
    </row>
    <row r="1348" spans="1:3" x14ac:dyDescent="0.45">
      <c r="A1348" s="1">
        <v>43351</v>
      </c>
      <c r="B1348" t="s">
        <v>10</v>
      </c>
      <c r="C1348" t="s">
        <v>9</v>
      </c>
    </row>
    <row r="1349" spans="1:3" x14ac:dyDescent="0.45">
      <c r="A1349" s="1">
        <v>43352</v>
      </c>
      <c r="B1349" t="s">
        <v>10</v>
      </c>
      <c r="C1349" t="s">
        <v>9</v>
      </c>
    </row>
    <row r="1350" spans="1:3" x14ac:dyDescent="0.45">
      <c r="A1350" s="1">
        <v>43353</v>
      </c>
      <c r="B1350" t="s">
        <v>10</v>
      </c>
      <c r="C1350" t="s">
        <v>9</v>
      </c>
    </row>
    <row r="1351" spans="1:3" x14ac:dyDescent="0.45">
      <c r="A1351" s="1">
        <v>43354</v>
      </c>
      <c r="B1351" t="s">
        <v>10</v>
      </c>
      <c r="C1351" t="s">
        <v>9</v>
      </c>
    </row>
    <row r="1352" spans="1:3" x14ac:dyDescent="0.45">
      <c r="A1352" s="1">
        <v>43355</v>
      </c>
      <c r="B1352" t="s">
        <v>10</v>
      </c>
      <c r="C1352" t="s">
        <v>9</v>
      </c>
    </row>
    <row r="1353" spans="1:3" x14ac:dyDescent="0.45">
      <c r="A1353" s="1">
        <v>43356</v>
      </c>
      <c r="B1353" t="s">
        <v>10</v>
      </c>
      <c r="C1353" t="s">
        <v>9</v>
      </c>
    </row>
    <row r="1354" spans="1:3" x14ac:dyDescent="0.45">
      <c r="A1354" s="1">
        <v>43357</v>
      </c>
      <c r="B1354" t="s">
        <v>10</v>
      </c>
      <c r="C1354" t="s">
        <v>9</v>
      </c>
    </row>
    <row r="1355" spans="1:3" x14ac:dyDescent="0.45">
      <c r="A1355" s="1">
        <v>43358</v>
      </c>
      <c r="B1355" t="s">
        <v>10</v>
      </c>
      <c r="C1355" t="s">
        <v>9</v>
      </c>
    </row>
    <row r="1356" spans="1:3" x14ac:dyDescent="0.45">
      <c r="A1356" s="1">
        <v>43359</v>
      </c>
      <c r="B1356" t="s">
        <v>10</v>
      </c>
      <c r="C1356" t="s">
        <v>9</v>
      </c>
    </row>
    <row r="1357" spans="1:3" x14ac:dyDescent="0.45">
      <c r="A1357" s="1">
        <v>43360</v>
      </c>
      <c r="B1357" t="s">
        <v>10</v>
      </c>
      <c r="C1357" t="s">
        <v>9</v>
      </c>
    </row>
    <row r="1358" spans="1:3" x14ac:dyDescent="0.45">
      <c r="A1358" s="1">
        <v>43361</v>
      </c>
      <c r="B1358" t="s">
        <v>10</v>
      </c>
      <c r="C1358" t="s">
        <v>9</v>
      </c>
    </row>
    <row r="1359" spans="1:3" x14ac:dyDescent="0.45">
      <c r="A1359" s="1">
        <v>43362</v>
      </c>
      <c r="B1359" t="s">
        <v>10</v>
      </c>
      <c r="C1359" t="s">
        <v>9</v>
      </c>
    </row>
    <row r="1360" spans="1:3" x14ac:dyDescent="0.45">
      <c r="A1360" s="1">
        <v>43363</v>
      </c>
      <c r="B1360" t="s">
        <v>10</v>
      </c>
      <c r="C1360" t="s">
        <v>9</v>
      </c>
    </row>
    <row r="1361" spans="1:3" x14ac:dyDescent="0.45">
      <c r="A1361" s="1">
        <v>43364</v>
      </c>
      <c r="B1361" t="s">
        <v>9</v>
      </c>
      <c r="C1361" t="s">
        <v>9</v>
      </c>
    </row>
    <row r="1362" spans="1:3" x14ac:dyDescent="0.45">
      <c r="A1362" s="1">
        <v>43365</v>
      </c>
      <c r="B1362" t="s">
        <v>9</v>
      </c>
      <c r="C1362" t="s">
        <v>9</v>
      </c>
    </row>
    <row r="1363" spans="1:3" x14ac:dyDescent="0.45">
      <c r="A1363" s="1">
        <v>43366</v>
      </c>
      <c r="B1363" t="s">
        <v>9</v>
      </c>
      <c r="C1363" t="s">
        <v>9</v>
      </c>
    </row>
    <row r="1364" spans="1:3" x14ac:dyDescent="0.45">
      <c r="A1364" s="1">
        <v>43367</v>
      </c>
      <c r="B1364" t="s">
        <v>9</v>
      </c>
      <c r="C1364" t="s">
        <v>9</v>
      </c>
    </row>
    <row r="1365" spans="1:3" x14ac:dyDescent="0.45">
      <c r="A1365" s="1">
        <v>43368</v>
      </c>
      <c r="B1365" t="s">
        <v>9</v>
      </c>
      <c r="C1365" t="s">
        <v>9</v>
      </c>
    </row>
    <row r="1366" spans="1:3" x14ac:dyDescent="0.45">
      <c r="A1366" s="1">
        <v>43369</v>
      </c>
      <c r="B1366" t="s">
        <v>9</v>
      </c>
      <c r="C1366" t="s">
        <v>9</v>
      </c>
    </row>
    <row r="1367" spans="1:3" x14ac:dyDescent="0.45">
      <c r="A1367" s="1">
        <v>43370</v>
      </c>
      <c r="B1367" t="s">
        <v>9</v>
      </c>
      <c r="C1367" t="s">
        <v>9</v>
      </c>
    </row>
    <row r="1368" spans="1:3" x14ac:dyDescent="0.45">
      <c r="A1368" s="1">
        <v>43371</v>
      </c>
      <c r="B1368" t="s">
        <v>9</v>
      </c>
      <c r="C1368" t="s">
        <v>10</v>
      </c>
    </row>
    <row r="1369" spans="1:3" x14ac:dyDescent="0.45">
      <c r="A1369" s="1">
        <v>43372</v>
      </c>
      <c r="B1369" t="s">
        <v>9</v>
      </c>
      <c r="C1369" t="s">
        <v>9</v>
      </c>
    </row>
    <row r="1370" spans="1:3" x14ac:dyDescent="0.45">
      <c r="A1370" s="1">
        <v>43373</v>
      </c>
      <c r="B1370" t="s">
        <v>9</v>
      </c>
      <c r="C1370" t="s">
        <v>9</v>
      </c>
    </row>
    <row r="1371" spans="1:3" x14ac:dyDescent="0.45">
      <c r="A1371" s="1">
        <v>43374</v>
      </c>
      <c r="B1371" t="s">
        <v>9</v>
      </c>
      <c r="C1371" t="s">
        <v>9</v>
      </c>
    </row>
    <row r="1372" spans="1:3" x14ac:dyDescent="0.45">
      <c r="A1372" s="1">
        <v>43375</v>
      </c>
      <c r="B1372" t="s">
        <v>9</v>
      </c>
      <c r="C1372" t="s">
        <v>9</v>
      </c>
    </row>
    <row r="1373" spans="1:3" x14ac:dyDescent="0.45">
      <c r="A1373" s="1">
        <v>43376</v>
      </c>
      <c r="B1373" t="s">
        <v>9</v>
      </c>
      <c r="C1373" t="s">
        <v>9</v>
      </c>
    </row>
    <row r="1374" spans="1:3" x14ac:dyDescent="0.45">
      <c r="A1374" s="1">
        <v>43377</v>
      </c>
      <c r="B1374" t="s">
        <v>9</v>
      </c>
      <c r="C1374" t="s">
        <v>9</v>
      </c>
    </row>
    <row r="1375" spans="1:3" x14ac:dyDescent="0.45">
      <c r="A1375" s="1">
        <v>43378</v>
      </c>
      <c r="B1375" t="s">
        <v>9</v>
      </c>
      <c r="C1375" t="s">
        <v>9</v>
      </c>
    </row>
    <row r="1376" spans="1:3" x14ac:dyDescent="0.45">
      <c r="A1376" s="1">
        <v>43379</v>
      </c>
      <c r="B1376" t="s">
        <v>9</v>
      </c>
      <c r="C1376" t="s">
        <v>9</v>
      </c>
    </row>
    <row r="1377" spans="1:3" x14ac:dyDescent="0.45">
      <c r="A1377" s="1">
        <v>43380</v>
      </c>
      <c r="B1377" t="s">
        <v>9</v>
      </c>
      <c r="C1377" t="s">
        <v>9</v>
      </c>
    </row>
    <row r="1378" spans="1:3" x14ac:dyDescent="0.45">
      <c r="A1378" s="1">
        <v>43381</v>
      </c>
      <c r="B1378" t="s">
        <v>9</v>
      </c>
      <c r="C1378" t="s">
        <v>9</v>
      </c>
    </row>
    <row r="1379" spans="1:3" x14ac:dyDescent="0.45">
      <c r="A1379" s="1">
        <v>43382</v>
      </c>
      <c r="B1379" t="s">
        <v>10</v>
      </c>
      <c r="C1379" t="s">
        <v>9</v>
      </c>
    </row>
    <row r="1380" spans="1:3" x14ac:dyDescent="0.45">
      <c r="A1380" s="1">
        <v>43383</v>
      </c>
      <c r="B1380" t="s">
        <v>10</v>
      </c>
      <c r="C1380" t="s">
        <v>9</v>
      </c>
    </row>
    <row r="1381" spans="1:3" x14ac:dyDescent="0.45">
      <c r="A1381" s="1">
        <v>43384</v>
      </c>
      <c r="B1381" t="s">
        <v>10</v>
      </c>
      <c r="C1381" t="s">
        <v>9</v>
      </c>
    </row>
    <row r="1382" spans="1:3" x14ac:dyDescent="0.45">
      <c r="A1382" s="1">
        <v>43385</v>
      </c>
      <c r="B1382" t="s">
        <v>10</v>
      </c>
      <c r="C1382" t="s">
        <v>9</v>
      </c>
    </row>
    <row r="1383" spans="1:3" x14ac:dyDescent="0.45">
      <c r="A1383" s="1">
        <v>43386</v>
      </c>
      <c r="B1383" t="s">
        <v>10</v>
      </c>
      <c r="C1383" t="s">
        <v>9</v>
      </c>
    </row>
    <row r="1384" spans="1:3" x14ac:dyDescent="0.45">
      <c r="A1384" s="1">
        <v>43387</v>
      </c>
      <c r="B1384" t="s">
        <v>10</v>
      </c>
      <c r="C1384" t="s">
        <v>9</v>
      </c>
    </row>
    <row r="1385" spans="1:3" x14ac:dyDescent="0.45">
      <c r="A1385" s="1">
        <v>43388</v>
      </c>
      <c r="B1385" t="s">
        <v>10</v>
      </c>
      <c r="C1385" t="s">
        <v>9</v>
      </c>
    </row>
    <row r="1386" spans="1:3" x14ac:dyDescent="0.45">
      <c r="A1386" s="1">
        <v>43389</v>
      </c>
      <c r="B1386" t="s">
        <v>10</v>
      </c>
      <c r="C1386" t="s">
        <v>9</v>
      </c>
    </row>
    <row r="1387" spans="1:3" x14ac:dyDescent="0.45">
      <c r="A1387" s="1">
        <v>43390</v>
      </c>
      <c r="B1387" t="s">
        <v>10</v>
      </c>
      <c r="C1387" t="s">
        <v>9</v>
      </c>
    </row>
    <row r="1388" spans="1:3" x14ac:dyDescent="0.45">
      <c r="A1388" s="1">
        <v>43391</v>
      </c>
      <c r="B1388" t="s">
        <v>10</v>
      </c>
      <c r="C1388" t="s">
        <v>9</v>
      </c>
    </row>
    <row r="1389" spans="1:3" x14ac:dyDescent="0.45">
      <c r="A1389" s="1">
        <v>43392</v>
      </c>
      <c r="B1389" t="s">
        <v>10</v>
      </c>
      <c r="C1389" t="s">
        <v>9</v>
      </c>
    </row>
    <row r="1390" spans="1:3" x14ac:dyDescent="0.45">
      <c r="A1390" s="1">
        <v>43393</v>
      </c>
      <c r="B1390" t="s">
        <v>10</v>
      </c>
      <c r="C1390" t="s">
        <v>9</v>
      </c>
    </row>
    <row r="1391" spans="1:3" x14ac:dyDescent="0.45">
      <c r="A1391" s="1">
        <v>43394</v>
      </c>
      <c r="B1391" t="s">
        <v>10</v>
      </c>
      <c r="C1391" t="s">
        <v>9</v>
      </c>
    </row>
    <row r="1392" spans="1:3" x14ac:dyDescent="0.45">
      <c r="A1392" s="1">
        <v>43395</v>
      </c>
      <c r="B1392" t="s">
        <v>10</v>
      </c>
      <c r="C1392" t="s">
        <v>9</v>
      </c>
    </row>
    <row r="1393" spans="1:3" x14ac:dyDescent="0.45">
      <c r="A1393" s="1">
        <v>43396</v>
      </c>
      <c r="B1393" t="s">
        <v>10</v>
      </c>
      <c r="C1393" t="s">
        <v>9</v>
      </c>
    </row>
    <row r="1394" spans="1:3" x14ac:dyDescent="0.45">
      <c r="A1394" s="1">
        <v>43397</v>
      </c>
      <c r="B1394" t="s">
        <v>10</v>
      </c>
      <c r="C1394" t="s">
        <v>9</v>
      </c>
    </row>
    <row r="1395" spans="1:3" x14ac:dyDescent="0.45">
      <c r="A1395" s="1">
        <v>43398</v>
      </c>
      <c r="B1395" t="s">
        <v>10</v>
      </c>
      <c r="C1395" t="s">
        <v>9</v>
      </c>
    </row>
    <row r="1396" spans="1:3" x14ac:dyDescent="0.45">
      <c r="A1396" s="1">
        <v>43399</v>
      </c>
      <c r="B1396" t="s">
        <v>10</v>
      </c>
      <c r="C1396" t="s">
        <v>9</v>
      </c>
    </row>
    <row r="1397" spans="1:3" x14ac:dyDescent="0.45">
      <c r="A1397" s="1">
        <v>43400</v>
      </c>
      <c r="B1397" t="s">
        <v>10</v>
      </c>
      <c r="C1397" t="s">
        <v>9</v>
      </c>
    </row>
    <row r="1398" spans="1:3" x14ac:dyDescent="0.45">
      <c r="A1398" s="1">
        <v>43401</v>
      </c>
      <c r="B1398" t="s">
        <v>10</v>
      </c>
      <c r="C1398" t="s">
        <v>9</v>
      </c>
    </row>
    <row r="1399" spans="1:3" x14ac:dyDescent="0.45">
      <c r="A1399" s="1">
        <v>43402</v>
      </c>
      <c r="B1399" t="s">
        <v>10</v>
      </c>
      <c r="C1399" t="s">
        <v>9</v>
      </c>
    </row>
    <row r="1400" spans="1:3" x14ac:dyDescent="0.45">
      <c r="A1400" s="1">
        <v>43403</v>
      </c>
      <c r="B1400" t="s">
        <v>10</v>
      </c>
      <c r="C1400" t="s">
        <v>9</v>
      </c>
    </row>
    <row r="1401" spans="1:3" x14ac:dyDescent="0.45">
      <c r="A1401" s="1">
        <v>43404</v>
      </c>
      <c r="B1401" t="s">
        <v>10</v>
      </c>
      <c r="C1401" t="s">
        <v>9</v>
      </c>
    </row>
    <row r="1402" spans="1:3" x14ac:dyDescent="0.45">
      <c r="A1402" s="1">
        <v>43405</v>
      </c>
      <c r="B1402" t="s">
        <v>10</v>
      </c>
      <c r="C1402" t="s">
        <v>9</v>
      </c>
    </row>
    <row r="1403" spans="1:3" x14ac:dyDescent="0.45">
      <c r="A1403" s="1">
        <v>43406</v>
      </c>
      <c r="B1403" t="s">
        <v>10</v>
      </c>
      <c r="C1403" t="s">
        <v>9</v>
      </c>
    </row>
    <row r="1404" spans="1:3" x14ac:dyDescent="0.45">
      <c r="A1404" s="1">
        <v>43407</v>
      </c>
      <c r="B1404" t="s">
        <v>10</v>
      </c>
      <c r="C1404" t="s">
        <v>9</v>
      </c>
    </row>
    <row r="1405" spans="1:3" x14ac:dyDescent="0.45">
      <c r="A1405" s="1">
        <v>43408</v>
      </c>
      <c r="B1405" t="s">
        <v>10</v>
      </c>
      <c r="C1405" t="s">
        <v>9</v>
      </c>
    </row>
    <row r="1406" spans="1:3" x14ac:dyDescent="0.45">
      <c r="A1406" s="1">
        <v>43409</v>
      </c>
      <c r="B1406" t="s">
        <v>10</v>
      </c>
      <c r="C1406" t="s">
        <v>9</v>
      </c>
    </row>
    <row r="1407" spans="1:3" x14ac:dyDescent="0.45">
      <c r="A1407" s="1">
        <v>43410</v>
      </c>
      <c r="B1407" t="s">
        <v>10</v>
      </c>
      <c r="C1407" t="s">
        <v>10</v>
      </c>
    </row>
    <row r="1408" spans="1:3" x14ac:dyDescent="0.45">
      <c r="A1408" s="1">
        <v>43411</v>
      </c>
      <c r="B1408" t="s">
        <v>10</v>
      </c>
      <c r="C1408" t="s">
        <v>9</v>
      </c>
    </row>
    <row r="1409" spans="1:3" x14ac:dyDescent="0.45">
      <c r="A1409" s="1">
        <v>43412</v>
      </c>
      <c r="B1409" t="s">
        <v>10</v>
      </c>
      <c r="C1409" t="s">
        <v>9</v>
      </c>
    </row>
    <row r="1410" spans="1:3" x14ac:dyDescent="0.45">
      <c r="A1410" s="1">
        <v>43413</v>
      </c>
      <c r="B1410" t="s">
        <v>10</v>
      </c>
      <c r="C1410" t="s">
        <v>9</v>
      </c>
    </row>
    <row r="1411" spans="1:3" x14ac:dyDescent="0.45">
      <c r="A1411" s="1">
        <v>43414</v>
      </c>
      <c r="B1411" t="s">
        <v>10</v>
      </c>
      <c r="C1411" t="s">
        <v>9</v>
      </c>
    </row>
    <row r="1412" spans="1:3" x14ac:dyDescent="0.45">
      <c r="A1412" s="1">
        <v>43415</v>
      </c>
      <c r="B1412" t="s">
        <v>10</v>
      </c>
      <c r="C1412" t="s">
        <v>9</v>
      </c>
    </row>
    <row r="1413" spans="1:3" x14ac:dyDescent="0.45">
      <c r="A1413" s="1">
        <v>43416</v>
      </c>
      <c r="B1413" t="s">
        <v>10</v>
      </c>
      <c r="C1413" t="s">
        <v>9</v>
      </c>
    </row>
    <row r="1414" spans="1:3" x14ac:dyDescent="0.45">
      <c r="A1414" s="1">
        <v>43417</v>
      </c>
      <c r="B1414" t="s">
        <v>10</v>
      </c>
      <c r="C1414" t="s">
        <v>9</v>
      </c>
    </row>
    <row r="1415" spans="1:3" x14ac:dyDescent="0.45">
      <c r="A1415" s="1">
        <v>43418</v>
      </c>
      <c r="B1415" t="s">
        <v>10</v>
      </c>
      <c r="C1415" t="s">
        <v>9</v>
      </c>
    </row>
    <row r="1416" spans="1:3" x14ac:dyDescent="0.45">
      <c r="A1416" s="1">
        <v>43419</v>
      </c>
      <c r="B1416" t="s">
        <v>10</v>
      </c>
      <c r="C1416" t="s">
        <v>9</v>
      </c>
    </row>
    <row r="1417" spans="1:3" x14ac:dyDescent="0.45">
      <c r="A1417" s="1">
        <v>43420</v>
      </c>
      <c r="B1417" t="s">
        <v>10</v>
      </c>
      <c r="C1417" t="s">
        <v>9</v>
      </c>
    </row>
    <row r="1418" spans="1:3" x14ac:dyDescent="0.45">
      <c r="A1418" s="1">
        <v>43421</v>
      </c>
      <c r="B1418" t="s">
        <v>10</v>
      </c>
      <c r="C1418" t="s">
        <v>9</v>
      </c>
    </row>
    <row r="1419" spans="1:3" x14ac:dyDescent="0.45">
      <c r="A1419" s="1">
        <v>43422</v>
      </c>
      <c r="B1419" t="s">
        <v>10</v>
      </c>
      <c r="C1419" t="s">
        <v>9</v>
      </c>
    </row>
    <row r="1420" spans="1:3" x14ac:dyDescent="0.45">
      <c r="A1420" s="1">
        <v>43423</v>
      </c>
      <c r="B1420" t="s">
        <v>10</v>
      </c>
      <c r="C1420" t="s">
        <v>9</v>
      </c>
    </row>
    <row r="1421" spans="1:3" x14ac:dyDescent="0.45">
      <c r="A1421" s="1">
        <v>43424</v>
      </c>
      <c r="B1421" t="s">
        <v>10</v>
      </c>
      <c r="C1421" t="s">
        <v>9</v>
      </c>
    </row>
    <row r="1422" spans="1:3" x14ac:dyDescent="0.45">
      <c r="A1422" s="1">
        <v>43425</v>
      </c>
      <c r="B1422" t="s">
        <v>10</v>
      </c>
      <c r="C1422" t="s">
        <v>9</v>
      </c>
    </row>
    <row r="1423" spans="1:3" x14ac:dyDescent="0.45">
      <c r="A1423" s="1">
        <v>43426</v>
      </c>
      <c r="B1423" t="s">
        <v>10</v>
      </c>
      <c r="C1423" t="s">
        <v>9</v>
      </c>
    </row>
    <row r="1424" spans="1:3" x14ac:dyDescent="0.45">
      <c r="A1424" s="1">
        <v>43427</v>
      </c>
      <c r="B1424" t="s">
        <v>10</v>
      </c>
      <c r="C1424" t="s">
        <v>9</v>
      </c>
    </row>
    <row r="1425" spans="1:3" x14ac:dyDescent="0.45">
      <c r="A1425" s="1">
        <v>43428</v>
      </c>
      <c r="B1425" t="s">
        <v>10</v>
      </c>
      <c r="C1425" t="s">
        <v>9</v>
      </c>
    </row>
    <row r="1426" spans="1:3" x14ac:dyDescent="0.45">
      <c r="A1426" s="1">
        <v>43429</v>
      </c>
      <c r="B1426" t="s">
        <v>10</v>
      </c>
      <c r="C1426" t="s">
        <v>9</v>
      </c>
    </row>
    <row r="1427" spans="1:3" x14ac:dyDescent="0.45">
      <c r="A1427" s="1">
        <v>43430</v>
      </c>
      <c r="B1427" t="s">
        <v>10</v>
      </c>
      <c r="C1427" t="s">
        <v>9</v>
      </c>
    </row>
    <row r="1428" spans="1:3" x14ac:dyDescent="0.45">
      <c r="A1428" s="1">
        <v>43431</v>
      </c>
      <c r="B1428" t="s">
        <v>10</v>
      </c>
      <c r="C1428" t="s">
        <v>9</v>
      </c>
    </row>
    <row r="1429" spans="1:3" x14ac:dyDescent="0.45">
      <c r="A1429" s="1">
        <v>43432</v>
      </c>
      <c r="B1429" t="s">
        <v>10</v>
      </c>
      <c r="C1429" t="s">
        <v>9</v>
      </c>
    </row>
    <row r="1430" spans="1:3" x14ac:dyDescent="0.45">
      <c r="A1430" s="1">
        <v>43433</v>
      </c>
      <c r="B1430" t="s">
        <v>10</v>
      </c>
      <c r="C1430" t="s">
        <v>9</v>
      </c>
    </row>
    <row r="1431" spans="1:3" x14ac:dyDescent="0.45">
      <c r="A1431" s="1">
        <v>43434</v>
      </c>
      <c r="B1431" t="s">
        <v>10</v>
      </c>
      <c r="C1431" t="s">
        <v>9</v>
      </c>
    </row>
    <row r="1432" spans="1:3" x14ac:dyDescent="0.45">
      <c r="A1432" s="1">
        <v>43435</v>
      </c>
      <c r="B1432" t="s">
        <v>10</v>
      </c>
      <c r="C1432" t="s">
        <v>9</v>
      </c>
    </row>
    <row r="1433" spans="1:3" x14ac:dyDescent="0.45">
      <c r="A1433" s="1">
        <v>43436</v>
      </c>
      <c r="B1433" t="s">
        <v>10</v>
      </c>
      <c r="C1433" t="s">
        <v>9</v>
      </c>
    </row>
    <row r="1434" spans="1:3" x14ac:dyDescent="0.45">
      <c r="A1434" s="1">
        <v>43437</v>
      </c>
      <c r="B1434" t="s">
        <v>10</v>
      </c>
      <c r="C1434" t="s">
        <v>9</v>
      </c>
    </row>
    <row r="1435" spans="1:3" x14ac:dyDescent="0.45">
      <c r="A1435" s="1">
        <v>43438</v>
      </c>
      <c r="B1435" t="s">
        <v>10</v>
      </c>
      <c r="C1435" t="s">
        <v>9</v>
      </c>
    </row>
    <row r="1436" spans="1:3" x14ac:dyDescent="0.45">
      <c r="A1436" s="1">
        <v>43439</v>
      </c>
      <c r="B1436" t="s">
        <v>10</v>
      </c>
      <c r="C1436" t="s">
        <v>9</v>
      </c>
    </row>
    <row r="1437" spans="1:3" x14ac:dyDescent="0.45">
      <c r="A1437" s="1">
        <v>43440</v>
      </c>
      <c r="B1437" t="s">
        <v>10</v>
      </c>
      <c r="C1437" t="s">
        <v>9</v>
      </c>
    </row>
    <row r="1438" spans="1:3" x14ac:dyDescent="0.45">
      <c r="A1438" s="1">
        <v>43441</v>
      </c>
      <c r="B1438" t="s">
        <v>10</v>
      </c>
      <c r="C1438" t="s">
        <v>9</v>
      </c>
    </row>
    <row r="1439" spans="1:3" x14ac:dyDescent="0.45">
      <c r="A1439" s="1">
        <v>43442</v>
      </c>
      <c r="B1439" t="s">
        <v>10</v>
      </c>
      <c r="C1439" t="s">
        <v>9</v>
      </c>
    </row>
    <row r="1440" spans="1:3" x14ac:dyDescent="0.45">
      <c r="A1440" s="1">
        <v>43443</v>
      </c>
      <c r="B1440" t="s">
        <v>10</v>
      </c>
      <c r="C1440" t="s">
        <v>9</v>
      </c>
    </row>
    <row r="1441" spans="1:3" x14ac:dyDescent="0.45">
      <c r="A1441" s="1">
        <v>43444</v>
      </c>
      <c r="B1441" t="s">
        <v>10</v>
      </c>
      <c r="C1441" t="s">
        <v>9</v>
      </c>
    </row>
    <row r="1442" spans="1:3" x14ac:dyDescent="0.45">
      <c r="A1442" s="1">
        <v>43445</v>
      </c>
      <c r="B1442" t="s">
        <v>10</v>
      </c>
      <c r="C1442" t="s">
        <v>9</v>
      </c>
    </row>
    <row r="1443" spans="1:3" x14ac:dyDescent="0.45">
      <c r="A1443" s="1">
        <v>43446</v>
      </c>
      <c r="B1443" t="s">
        <v>10</v>
      </c>
      <c r="C1443" t="s">
        <v>9</v>
      </c>
    </row>
    <row r="1444" spans="1:3" x14ac:dyDescent="0.45">
      <c r="A1444" s="1">
        <v>43447</v>
      </c>
      <c r="B1444" t="s">
        <v>10</v>
      </c>
      <c r="C1444" t="s">
        <v>9</v>
      </c>
    </row>
    <row r="1445" spans="1:3" x14ac:dyDescent="0.45">
      <c r="A1445" s="1">
        <v>43448</v>
      </c>
      <c r="B1445" t="s">
        <v>10</v>
      </c>
      <c r="C1445" t="s">
        <v>9</v>
      </c>
    </row>
    <row r="1446" spans="1:3" x14ac:dyDescent="0.45">
      <c r="A1446" s="1">
        <v>43449</v>
      </c>
      <c r="B1446" t="s">
        <v>10</v>
      </c>
      <c r="C1446" t="s">
        <v>9</v>
      </c>
    </row>
    <row r="1447" spans="1:3" x14ac:dyDescent="0.45">
      <c r="A1447" s="1">
        <v>43450</v>
      </c>
      <c r="B1447" t="s">
        <v>10</v>
      </c>
      <c r="C1447" t="s">
        <v>9</v>
      </c>
    </row>
    <row r="1448" spans="1:3" x14ac:dyDescent="0.45">
      <c r="A1448" s="1">
        <v>43451</v>
      </c>
      <c r="B1448" t="s">
        <v>10</v>
      </c>
      <c r="C1448" t="s">
        <v>9</v>
      </c>
    </row>
    <row r="1449" spans="1:3" x14ac:dyDescent="0.45">
      <c r="A1449" s="1">
        <v>43452</v>
      </c>
      <c r="B1449" t="s">
        <v>10</v>
      </c>
      <c r="C1449" t="s">
        <v>9</v>
      </c>
    </row>
    <row r="1450" spans="1:3" x14ac:dyDescent="0.45">
      <c r="A1450" s="1">
        <v>43453</v>
      </c>
      <c r="B1450" t="s">
        <v>10</v>
      </c>
      <c r="C1450" t="s">
        <v>9</v>
      </c>
    </row>
    <row r="1451" spans="1:3" x14ac:dyDescent="0.45">
      <c r="A1451" s="1">
        <v>43454</v>
      </c>
      <c r="B1451" t="s">
        <v>10</v>
      </c>
      <c r="C1451" t="s">
        <v>9</v>
      </c>
    </row>
    <row r="1452" spans="1:3" x14ac:dyDescent="0.45">
      <c r="A1452" s="1">
        <v>43455</v>
      </c>
      <c r="B1452" t="s">
        <v>9</v>
      </c>
      <c r="C1452" t="s">
        <v>9</v>
      </c>
    </row>
    <row r="1453" spans="1:3" x14ac:dyDescent="0.45">
      <c r="A1453" s="1">
        <v>43456</v>
      </c>
      <c r="B1453" t="s">
        <v>9</v>
      </c>
      <c r="C1453" t="s">
        <v>9</v>
      </c>
    </row>
    <row r="1454" spans="1:3" x14ac:dyDescent="0.45">
      <c r="A1454" s="1">
        <v>43457</v>
      </c>
      <c r="B1454" t="s">
        <v>9</v>
      </c>
      <c r="C1454" t="s">
        <v>9</v>
      </c>
    </row>
    <row r="1455" spans="1:3" x14ac:dyDescent="0.45">
      <c r="A1455" s="1">
        <v>43458</v>
      </c>
      <c r="B1455" t="s">
        <v>9</v>
      </c>
      <c r="C1455" t="s">
        <v>9</v>
      </c>
    </row>
    <row r="1456" spans="1:3" x14ac:dyDescent="0.45">
      <c r="A1456" s="1">
        <v>43459</v>
      </c>
      <c r="B1456" t="s">
        <v>9</v>
      </c>
      <c r="C1456" t="s">
        <v>10</v>
      </c>
    </row>
    <row r="1457" spans="1:3" x14ac:dyDescent="0.45">
      <c r="A1457" s="1">
        <v>43460</v>
      </c>
      <c r="B1457" t="s">
        <v>9</v>
      </c>
      <c r="C1457" t="s">
        <v>10</v>
      </c>
    </row>
    <row r="1458" spans="1:3" x14ac:dyDescent="0.45">
      <c r="A1458" s="1">
        <v>43461</v>
      </c>
      <c r="B1458" t="s">
        <v>9</v>
      </c>
      <c r="C1458" t="s">
        <v>9</v>
      </c>
    </row>
    <row r="1459" spans="1:3" x14ac:dyDescent="0.45">
      <c r="A1459" s="1">
        <v>43462</v>
      </c>
      <c r="B1459" t="s">
        <v>9</v>
      </c>
      <c r="C1459" t="s">
        <v>9</v>
      </c>
    </row>
    <row r="1460" spans="1:3" x14ac:dyDescent="0.45">
      <c r="A1460" s="1">
        <v>43463</v>
      </c>
      <c r="B1460" t="s">
        <v>9</v>
      </c>
      <c r="C1460" t="s">
        <v>9</v>
      </c>
    </row>
    <row r="1461" spans="1:3" x14ac:dyDescent="0.45">
      <c r="A1461" s="1">
        <v>43464</v>
      </c>
      <c r="B1461" t="s">
        <v>9</v>
      </c>
      <c r="C1461" t="s">
        <v>9</v>
      </c>
    </row>
    <row r="1462" spans="1:3" x14ac:dyDescent="0.45">
      <c r="A1462" s="1">
        <v>43465</v>
      </c>
      <c r="B1462" t="s">
        <v>9</v>
      </c>
      <c r="C1462" t="s">
        <v>9</v>
      </c>
    </row>
    <row r="1463" spans="1:3" x14ac:dyDescent="0.45">
      <c r="A1463" s="1">
        <v>43466</v>
      </c>
      <c r="B1463" t="s">
        <v>9</v>
      </c>
      <c r="C1463" t="s">
        <v>10</v>
      </c>
    </row>
    <row r="1464" spans="1:3" x14ac:dyDescent="0.45">
      <c r="A1464" s="1">
        <v>43467</v>
      </c>
      <c r="B1464" t="s">
        <v>9</v>
      </c>
      <c r="C1464" t="s">
        <v>9</v>
      </c>
    </row>
    <row r="1465" spans="1:3" x14ac:dyDescent="0.45">
      <c r="A1465" s="1">
        <v>43468</v>
      </c>
      <c r="B1465" t="s">
        <v>9</v>
      </c>
      <c r="C1465" t="s">
        <v>9</v>
      </c>
    </row>
    <row r="1466" spans="1:3" x14ac:dyDescent="0.45">
      <c r="A1466" s="1">
        <v>43469</v>
      </c>
      <c r="B1466" t="s">
        <v>9</v>
      </c>
      <c r="C1466" t="s">
        <v>9</v>
      </c>
    </row>
    <row r="1467" spans="1:3" x14ac:dyDescent="0.45">
      <c r="A1467" s="1">
        <v>43470</v>
      </c>
      <c r="B1467" t="s">
        <v>9</v>
      </c>
      <c r="C1467" t="s">
        <v>9</v>
      </c>
    </row>
    <row r="1468" spans="1:3" x14ac:dyDescent="0.45">
      <c r="A1468" s="1">
        <v>43471</v>
      </c>
      <c r="B1468" t="s">
        <v>9</v>
      </c>
      <c r="C1468" t="s">
        <v>9</v>
      </c>
    </row>
    <row r="1469" spans="1:3" x14ac:dyDescent="0.45">
      <c r="A1469" s="1">
        <v>43472</v>
      </c>
      <c r="B1469" t="s">
        <v>9</v>
      </c>
      <c r="C1469" t="s">
        <v>9</v>
      </c>
    </row>
    <row r="1470" spans="1:3" x14ac:dyDescent="0.45">
      <c r="A1470" s="1">
        <v>43473</v>
      </c>
      <c r="B1470" t="s">
        <v>9</v>
      </c>
      <c r="C1470" t="s">
        <v>9</v>
      </c>
    </row>
    <row r="1471" spans="1:3" x14ac:dyDescent="0.45">
      <c r="A1471" s="1">
        <v>43474</v>
      </c>
      <c r="B1471" t="s">
        <v>9</v>
      </c>
      <c r="C1471" t="s">
        <v>9</v>
      </c>
    </row>
    <row r="1472" spans="1:3" x14ac:dyDescent="0.45">
      <c r="A1472" s="1">
        <v>43475</v>
      </c>
      <c r="B1472" t="s">
        <v>9</v>
      </c>
      <c r="C1472" t="s">
        <v>9</v>
      </c>
    </row>
    <row r="1473" spans="1:3" x14ac:dyDescent="0.45">
      <c r="A1473" s="1">
        <v>43476</v>
      </c>
      <c r="B1473" t="s">
        <v>9</v>
      </c>
      <c r="C1473" t="s">
        <v>9</v>
      </c>
    </row>
    <row r="1474" spans="1:3" x14ac:dyDescent="0.45">
      <c r="A1474" s="1">
        <v>43477</v>
      </c>
      <c r="B1474" t="s">
        <v>9</v>
      </c>
      <c r="C1474" t="s">
        <v>9</v>
      </c>
    </row>
    <row r="1475" spans="1:3" x14ac:dyDescent="0.45">
      <c r="A1475" s="1">
        <v>43478</v>
      </c>
      <c r="B1475" t="s">
        <v>9</v>
      </c>
      <c r="C1475" t="s">
        <v>9</v>
      </c>
    </row>
    <row r="1476" spans="1:3" x14ac:dyDescent="0.45">
      <c r="A1476" s="1">
        <v>43479</v>
      </c>
      <c r="B1476" t="s">
        <v>9</v>
      </c>
      <c r="C1476" t="s">
        <v>9</v>
      </c>
    </row>
    <row r="1477" spans="1:3" x14ac:dyDescent="0.45">
      <c r="A1477" s="1">
        <v>43480</v>
      </c>
      <c r="B1477" t="s">
        <v>9</v>
      </c>
      <c r="C1477" t="s">
        <v>9</v>
      </c>
    </row>
    <row r="1478" spans="1:3" x14ac:dyDescent="0.45">
      <c r="A1478" s="1">
        <v>43481</v>
      </c>
      <c r="B1478" t="s">
        <v>9</v>
      </c>
      <c r="C1478" t="s">
        <v>9</v>
      </c>
    </row>
    <row r="1479" spans="1:3" x14ac:dyDescent="0.45">
      <c r="A1479" s="1">
        <v>43482</v>
      </c>
      <c r="B1479" t="s">
        <v>9</v>
      </c>
      <c r="C1479" t="s">
        <v>9</v>
      </c>
    </row>
    <row r="1480" spans="1:3" x14ac:dyDescent="0.45">
      <c r="A1480" s="1">
        <v>43483</v>
      </c>
      <c r="B1480" t="s">
        <v>9</v>
      </c>
      <c r="C1480" t="s">
        <v>9</v>
      </c>
    </row>
    <row r="1481" spans="1:3" x14ac:dyDescent="0.45">
      <c r="A1481" s="1">
        <v>43484</v>
      </c>
      <c r="B1481" t="s">
        <v>9</v>
      </c>
      <c r="C1481" t="s">
        <v>9</v>
      </c>
    </row>
    <row r="1482" spans="1:3" x14ac:dyDescent="0.45">
      <c r="A1482" s="1">
        <v>43485</v>
      </c>
      <c r="B1482" t="s">
        <v>9</v>
      </c>
      <c r="C1482" t="s">
        <v>9</v>
      </c>
    </row>
    <row r="1483" spans="1:3" x14ac:dyDescent="0.45">
      <c r="A1483" s="1">
        <v>43486</v>
      </c>
      <c r="B1483" t="s">
        <v>9</v>
      </c>
      <c r="C1483" t="s">
        <v>9</v>
      </c>
    </row>
    <row r="1484" spans="1:3" x14ac:dyDescent="0.45">
      <c r="A1484" s="1">
        <v>43487</v>
      </c>
      <c r="B1484" t="s">
        <v>9</v>
      </c>
      <c r="C1484" t="s">
        <v>9</v>
      </c>
    </row>
    <row r="1485" spans="1:3" x14ac:dyDescent="0.45">
      <c r="A1485" s="1">
        <v>43488</v>
      </c>
      <c r="B1485" t="s">
        <v>9</v>
      </c>
      <c r="C1485" t="s">
        <v>9</v>
      </c>
    </row>
    <row r="1486" spans="1:3" x14ac:dyDescent="0.45">
      <c r="A1486" s="1">
        <v>43489</v>
      </c>
      <c r="B1486" t="s">
        <v>9</v>
      </c>
      <c r="C1486" t="s">
        <v>9</v>
      </c>
    </row>
    <row r="1487" spans="1:3" x14ac:dyDescent="0.45">
      <c r="A1487" s="1">
        <v>43490</v>
      </c>
      <c r="B1487" t="s">
        <v>9</v>
      </c>
      <c r="C1487" t="s">
        <v>9</v>
      </c>
    </row>
    <row r="1488" spans="1:3" x14ac:dyDescent="0.45">
      <c r="A1488" s="1">
        <v>43491</v>
      </c>
      <c r="B1488" t="s">
        <v>9</v>
      </c>
      <c r="C1488" t="s">
        <v>10</v>
      </c>
    </row>
    <row r="1489" spans="1:3" x14ac:dyDescent="0.45">
      <c r="A1489" s="1">
        <v>43492</v>
      </c>
      <c r="B1489" t="s">
        <v>9</v>
      </c>
      <c r="C1489" t="s">
        <v>9</v>
      </c>
    </row>
    <row r="1490" spans="1:3" x14ac:dyDescent="0.45">
      <c r="A1490" s="1">
        <v>43493</v>
      </c>
      <c r="B1490" t="s">
        <v>9</v>
      </c>
      <c r="C1490" t="s">
        <v>10</v>
      </c>
    </row>
    <row r="1491" spans="1:3" x14ac:dyDescent="0.45">
      <c r="A1491" s="1">
        <v>43494</v>
      </c>
      <c r="B1491" t="s">
        <v>9</v>
      </c>
      <c r="C1491" t="s">
        <v>9</v>
      </c>
    </row>
    <row r="1492" spans="1:3" x14ac:dyDescent="0.45">
      <c r="A1492" s="1">
        <v>43495</v>
      </c>
      <c r="B1492" t="s">
        <v>9</v>
      </c>
      <c r="C1492" t="s">
        <v>9</v>
      </c>
    </row>
    <row r="1493" spans="1:3" x14ac:dyDescent="0.45">
      <c r="A1493" s="1">
        <v>43496</v>
      </c>
      <c r="B1493" t="s">
        <v>10</v>
      </c>
      <c r="C1493" t="s">
        <v>9</v>
      </c>
    </row>
    <row r="1494" spans="1:3" x14ac:dyDescent="0.45">
      <c r="A1494" s="1">
        <v>43497</v>
      </c>
      <c r="B1494" t="s">
        <v>10</v>
      </c>
      <c r="C1494" t="s">
        <v>9</v>
      </c>
    </row>
    <row r="1495" spans="1:3" x14ac:dyDescent="0.45">
      <c r="A1495" s="1">
        <v>43498</v>
      </c>
      <c r="B1495" t="s">
        <v>10</v>
      </c>
      <c r="C1495" t="s">
        <v>9</v>
      </c>
    </row>
    <row r="1496" spans="1:3" x14ac:dyDescent="0.45">
      <c r="A1496" s="1">
        <v>43499</v>
      </c>
      <c r="B1496" t="s">
        <v>10</v>
      </c>
      <c r="C1496" t="s">
        <v>9</v>
      </c>
    </row>
    <row r="1497" spans="1:3" x14ac:dyDescent="0.45">
      <c r="A1497" s="1">
        <v>43500</v>
      </c>
      <c r="B1497" t="s">
        <v>10</v>
      </c>
      <c r="C1497" t="s">
        <v>9</v>
      </c>
    </row>
    <row r="1498" spans="1:3" x14ac:dyDescent="0.45">
      <c r="A1498" s="1">
        <v>43501</v>
      </c>
      <c r="B1498" t="s">
        <v>10</v>
      </c>
      <c r="C1498" t="s">
        <v>9</v>
      </c>
    </row>
    <row r="1499" spans="1:3" x14ac:dyDescent="0.45">
      <c r="A1499" s="1">
        <v>43502</v>
      </c>
      <c r="B1499" t="s">
        <v>10</v>
      </c>
      <c r="C1499" t="s">
        <v>9</v>
      </c>
    </row>
    <row r="1500" spans="1:3" x14ac:dyDescent="0.45">
      <c r="A1500" s="1">
        <v>43503</v>
      </c>
      <c r="B1500" t="s">
        <v>10</v>
      </c>
      <c r="C1500" t="s">
        <v>9</v>
      </c>
    </row>
    <row r="1501" spans="1:3" x14ac:dyDescent="0.45">
      <c r="A1501" s="1">
        <v>43504</v>
      </c>
      <c r="B1501" t="s">
        <v>10</v>
      </c>
      <c r="C1501" t="s">
        <v>9</v>
      </c>
    </row>
    <row r="1502" spans="1:3" x14ac:dyDescent="0.45">
      <c r="A1502" s="1">
        <v>43505</v>
      </c>
      <c r="B1502" t="s">
        <v>10</v>
      </c>
      <c r="C1502" t="s">
        <v>9</v>
      </c>
    </row>
    <row r="1503" spans="1:3" x14ac:dyDescent="0.45">
      <c r="A1503" s="1">
        <v>43506</v>
      </c>
      <c r="B1503" t="s">
        <v>10</v>
      </c>
      <c r="C1503" t="s">
        <v>9</v>
      </c>
    </row>
    <row r="1504" spans="1:3" x14ac:dyDescent="0.45">
      <c r="A1504" s="1">
        <v>43507</v>
      </c>
      <c r="B1504" t="s">
        <v>10</v>
      </c>
      <c r="C1504" t="s">
        <v>9</v>
      </c>
    </row>
    <row r="1505" spans="1:3" x14ac:dyDescent="0.45">
      <c r="A1505" s="1">
        <v>43508</v>
      </c>
      <c r="B1505" t="s">
        <v>10</v>
      </c>
      <c r="C1505" t="s">
        <v>9</v>
      </c>
    </row>
    <row r="1506" spans="1:3" x14ac:dyDescent="0.45">
      <c r="A1506" s="1">
        <v>43509</v>
      </c>
      <c r="B1506" t="s">
        <v>10</v>
      </c>
      <c r="C1506" t="s">
        <v>9</v>
      </c>
    </row>
    <row r="1507" spans="1:3" x14ac:dyDescent="0.45">
      <c r="A1507" s="1">
        <v>43510</v>
      </c>
      <c r="B1507" t="s">
        <v>10</v>
      </c>
      <c r="C1507" t="s">
        <v>9</v>
      </c>
    </row>
    <row r="1508" spans="1:3" x14ac:dyDescent="0.45">
      <c r="A1508" s="1">
        <v>43511</v>
      </c>
      <c r="B1508" t="s">
        <v>10</v>
      </c>
      <c r="C1508" t="s">
        <v>9</v>
      </c>
    </row>
    <row r="1509" spans="1:3" x14ac:dyDescent="0.45">
      <c r="A1509" s="1">
        <v>43512</v>
      </c>
      <c r="B1509" t="s">
        <v>10</v>
      </c>
      <c r="C1509" t="s">
        <v>9</v>
      </c>
    </row>
    <row r="1510" spans="1:3" x14ac:dyDescent="0.45">
      <c r="A1510" s="1">
        <v>43513</v>
      </c>
      <c r="B1510" t="s">
        <v>10</v>
      </c>
      <c r="C1510" t="s">
        <v>9</v>
      </c>
    </row>
    <row r="1511" spans="1:3" x14ac:dyDescent="0.45">
      <c r="A1511" s="1">
        <v>43514</v>
      </c>
      <c r="B1511" t="s">
        <v>10</v>
      </c>
      <c r="C1511" t="s">
        <v>9</v>
      </c>
    </row>
    <row r="1512" spans="1:3" x14ac:dyDescent="0.45">
      <c r="A1512" s="1">
        <v>43515</v>
      </c>
      <c r="B1512" t="s">
        <v>10</v>
      </c>
      <c r="C1512" t="s">
        <v>9</v>
      </c>
    </row>
    <row r="1513" spans="1:3" x14ac:dyDescent="0.45">
      <c r="A1513" s="1">
        <v>43516</v>
      </c>
      <c r="B1513" t="s">
        <v>10</v>
      </c>
      <c r="C1513" t="s">
        <v>9</v>
      </c>
    </row>
    <row r="1514" spans="1:3" x14ac:dyDescent="0.45">
      <c r="A1514" s="1">
        <v>43517</v>
      </c>
      <c r="B1514" t="s">
        <v>10</v>
      </c>
      <c r="C1514" t="s">
        <v>9</v>
      </c>
    </row>
    <row r="1515" spans="1:3" x14ac:dyDescent="0.45">
      <c r="A1515" s="1">
        <v>43518</v>
      </c>
      <c r="B1515" t="s">
        <v>10</v>
      </c>
      <c r="C1515" t="s">
        <v>9</v>
      </c>
    </row>
    <row r="1516" spans="1:3" x14ac:dyDescent="0.45">
      <c r="A1516" s="1">
        <v>43519</v>
      </c>
      <c r="B1516" t="s">
        <v>10</v>
      </c>
      <c r="C1516" t="s">
        <v>9</v>
      </c>
    </row>
    <row r="1517" spans="1:3" x14ac:dyDescent="0.45">
      <c r="A1517" s="1">
        <v>43520</v>
      </c>
      <c r="B1517" t="s">
        <v>10</v>
      </c>
      <c r="C1517" t="s">
        <v>9</v>
      </c>
    </row>
    <row r="1518" spans="1:3" x14ac:dyDescent="0.45">
      <c r="A1518" s="1">
        <v>43521</v>
      </c>
      <c r="B1518" t="s">
        <v>10</v>
      </c>
      <c r="C1518" t="s">
        <v>9</v>
      </c>
    </row>
    <row r="1519" spans="1:3" x14ac:dyDescent="0.45">
      <c r="A1519" s="1">
        <v>43522</v>
      </c>
      <c r="B1519" t="s">
        <v>10</v>
      </c>
      <c r="C1519" t="s">
        <v>9</v>
      </c>
    </row>
    <row r="1520" spans="1:3" x14ac:dyDescent="0.45">
      <c r="A1520" s="1">
        <v>43523</v>
      </c>
      <c r="B1520" t="s">
        <v>10</v>
      </c>
      <c r="C1520" t="s">
        <v>9</v>
      </c>
    </row>
    <row r="1521" spans="1:3" x14ac:dyDescent="0.45">
      <c r="A1521" s="1">
        <v>43524</v>
      </c>
      <c r="B1521" t="s">
        <v>10</v>
      </c>
      <c r="C1521" t="s">
        <v>9</v>
      </c>
    </row>
    <row r="1522" spans="1:3" x14ac:dyDescent="0.45">
      <c r="A1522" s="1">
        <v>43525</v>
      </c>
      <c r="B1522" t="s">
        <v>10</v>
      </c>
      <c r="C1522" t="s">
        <v>9</v>
      </c>
    </row>
    <row r="1523" spans="1:3" x14ac:dyDescent="0.45">
      <c r="A1523" s="1">
        <v>43526</v>
      </c>
      <c r="B1523" t="s">
        <v>10</v>
      </c>
      <c r="C1523" t="s">
        <v>9</v>
      </c>
    </row>
    <row r="1524" spans="1:3" x14ac:dyDescent="0.45">
      <c r="A1524" s="1">
        <v>43527</v>
      </c>
      <c r="B1524" t="s">
        <v>10</v>
      </c>
      <c r="C1524" t="s">
        <v>9</v>
      </c>
    </row>
    <row r="1525" spans="1:3" x14ac:dyDescent="0.45">
      <c r="A1525" s="1">
        <v>43528</v>
      </c>
      <c r="B1525" t="s">
        <v>10</v>
      </c>
      <c r="C1525" t="s">
        <v>9</v>
      </c>
    </row>
    <row r="1526" spans="1:3" x14ac:dyDescent="0.45">
      <c r="A1526" s="1">
        <v>43529</v>
      </c>
      <c r="B1526" t="s">
        <v>10</v>
      </c>
      <c r="C1526" t="s">
        <v>9</v>
      </c>
    </row>
    <row r="1527" spans="1:3" x14ac:dyDescent="0.45">
      <c r="A1527" s="1">
        <v>43530</v>
      </c>
      <c r="B1527" t="s">
        <v>10</v>
      </c>
      <c r="C1527" t="s">
        <v>9</v>
      </c>
    </row>
    <row r="1528" spans="1:3" x14ac:dyDescent="0.45">
      <c r="A1528" s="1">
        <v>43531</v>
      </c>
      <c r="B1528" t="s">
        <v>10</v>
      </c>
      <c r="C1528" t="s">
        <v>9</v>
      </c>
    </row>
    <row r="1529" spans="1:3" x14ac:dyDescent="0.45">
      <c r="A1529" s="1">
        <v>43532</v>
      </c>
      <c r="B1529" t="s">
        <v>10</v>
      </c>
      <c r="C1529" t="s">
        <v>9</v>
      </c>
    </row>
    <row r="1530" spans="1:3" x14ac:dyDescent="0.45">
      <c r="A1530" s="1">
        <v>43533</v>
      </c>
      <c r="B1530" t="s">
        <v>10</v>
      </c>
      <c r="C1530" t="s">
        <v>9</v>
      </c>
    </row>
    <row r="1531" spans="1:3" x14ac:dyDescent="0.45">
      <c r="A1531" s="1">
        <v>43534</v>
      </c>
      <c r="B1531" t="s">
        <v>10</v>
      </c>
      <c r="C1531" t="s">
        <v>9</v>
      </c>
    </row>
    <row r="1532" spans="1:3" x14ac:dyDescent="0.45">
      <c r="A1532" s="1">
        <v>43535</v>
      </c>
      <c r="B1532" t="s">
        <v>10</v>
      </c>
      <c r="C1532" t="s">
        <v>10</v>
      </c>
    </row>
    <row r="1533" spans="1:3" x14ac:dyDescent="0.45">
      <c r="A1533" s="1">
        <v>43536</v>
      </c>
      <c r="B1533" t="s">
        <v>10</v>
      </c>
      <c r="C1533" t="s">
        <v>9</v>
      </c>
    </row>
    <row r="1534" spans="1:3" x14ac:dyDescent="0.45">
      <c r="A1534" s="1">
        <v>43537</v>
      </c>
      <c r="B1534" t="s">
        <v>10</v>
      </c>
      <c r="C1534" t="s">
        <v>9</v>
      </c>
    </row>
    <row r="1535" spans="1:3" x14ac:dyDescent="0.45">
      <c r="A1535" s="1">
        <v>43538</v>
      </c>
      <c r="B1535" t="s">
        <v>10</v>
      </c>
      <c r="C1535" t="s">
        <v>9</v>
      </c>
    </row>
    <row r="1536" spans="1:3" x14ac:dyDescent="0.45">
      <c r="A1536" s="1">
        <v>43539</v>
      </c>
      <c r="B1536" t="s">
        <v>10</v>
      </c>
      <c r="C1536" t="s">
        <v>9</v>
      </c>
    </row>
    <row r="1537" spans="1:3" x14ac:dyDescent="0.45">
      <c r="A1537" s="1">
        <v>43540</v>
      </c>
      <c r="B1537" t="s">
        <v>10</v>
      </c>
      <c r="C1537" t="s">
        <v>9</v>
      </c>
    </row>
    <row r="1538" spans="1:3" x14ac:dyDescent="0.45">
      <c r="A1538" s="1">
        <v>43541</v>
      </c>
      <c r="B1538" t="s">
        <v>10</v>
      </c>
      <c r="C1538" t="s">
        <v>9</v>
      </c>
    </row>
    <row r="1539" spans="1:3" x14ac:dyDescent="0.45">
      <c r="A1539" s="1">
        <v>43542</v>
      </c>
      <c r="B1539" t="s">
        <v>10</v>
      </c>
      <c r="C1539" t="s">
        <v>9</v>
      </c>
    </row>
    <row r="1540" spans="1:3" x14ac:dyDescent="0.45">
      <c r="A1540" s="1">
        <v>43543</v>
      </c>
      <c r="B1540" t="s">
        <v>10</v>
      </c>
      <c r="C1540" t="s">
        <v>9</v>
      </c>
    </row>
    <row r="1541" spans="1:3" x14ac:dyDescent="0.45">
      <c r="A1541" s="1">
        <v>43544</v>
      </c>
      <c r="B1541" t="s">
        <v>10</v>
      </c>
      <c r="C1541" t="s">
        <v>9</v>
      </c>
    </row>
    <row r="1542" spans="1:3" x14ac:dyDescent="0.45">
      <c r="A1542" s="1">
        <v>43545</v>
      </c>
      <c r="B1542" t="s">
        <v>10</v>
      </c>
      <c r="C1542" t="s">
        <v>9</v>
      </c>
    </row>
    <row r="1543" spans="1:3" x14ac:dyDescent="0.45">
      <c r="A1543" s="1">
        <v>43546</v>
      </c>
      <c r="B1543" t="s">
        <v>10</v>
      </c>
      <c r="C1543" t="s">
        <v>9</v>
      </c>
    </row>
    <row r="1544" spans="1:3" x14ac:dyDescent="0.45">
      <c r="A1544" s="1">
        <v>43547</v>
      </c>
      <c r="B1544" t="s">
        <v>10</v>
      </c>
      <c r="C1544" t="s">
        <v>9</v>
      </c>
    </row>
    <row r="1545" spans="1:3" x14ac:dyDescent="0.45">
      <c r="A1545" s="1">
        <v>43548</v>
      </c>
      <c r="B1545" t="s">
        <v>10</v>
      </c>
      <c r="C1545" t="s">
        <v>9</v>
      </c>
    </row>
    <row r="1546" spans="1:3" x14ac:dyDescent="0.45">
      <c r="A1546" s="1">
        <v>43549</v>
      </c>
      <c r="B1546" t="s">
        <v>10</v>
      </c>
      <c r="C1546" t="s">
        <v>9</v>
      </c>
    </row>
    <row r="1547" spans="1:3" x14ac:dyDescent="0.45">
      <c r="A1547" s="1">
        <v>43550</v>
      </c>
      <c r="B1547" t="s">
        <v>10</v>
      </c>
      <c r="C1547" t="s">
        <v>9</v>
      </c>
    </row>
    <row r="1548" spans="1:3" x14ac:dyDescent="0.45">
      <c r="A1548" s="1">
        <v>43551</v>
      </c>
      <c r="B1548" t="s">
        <v>10</v>
      </c>
      <c r="C1548" t="s">
        <v>9</v>
      </c>
    </row>
    <row r="1549" spans="1:3" x14ac:dyDescent="0.45">
      <c r="A1549" s="1">
        <v>43552</v>
      </c>
      <c r="B1549" t="s">
        <v>10</v>
      </c>
      <c r="C1549" t="s">
        <v>9</v>
      </c>
    </row>
    <row r="1550" spans="1:3" x14ac:dyDescent="0.45">
      <c r="A1550" s="1">
        <v>43553</v>
      </c>
      <c r="B1550" t="s">
        <v>10</v>
      </c>
      <c r="C1550" t="s">
        <v>9</v>
      </c>
    </row>
    <row r="1551" spans="1:3" x14ac:dyDescent="0.45">
      <c r="A1551" s="1">
        <v>43554</v>
      </c>
      <c r="B1551" t="s">
        <v>10</v>
      </c>
      <c r="C1551" t="s">
        <v>9</v>
      </c>
    </row>
    <row r="1552" spans="1:3" x14ac:dyDescent="0.45">
      <c r="A1552" s="1">
        <v>43555</v>
      </c>
      <c r="B1552" t="s">
        <v>10</v>
      </c>
      <c r="C1552" t="s">
        <v>9</v>
      </c>
    </row>
    <row r="1553" spans="1:3" x14ac:dyDescent="0.45">
      <c r="A1553" s="1">
        <v>43556</v>
      </c>
      <c r="B1553" t="s">
        <v>10</v>
      </c>
      <c r="C1553" t="s">
        <v>9</v>
      </c>
    </row>
    <row r="1554" spans="1:3" x14ac:dyDescent="0.45">
      <c r="A1554" s="1">
        <v>43557</v>
      </c>
      <c r="B1554" t="s">
        <v>10</v>
      </c>
      <c r="C1554" t="s">
        <v>9</v>
      </c>
    </row>
    <row r="1555" spans="1:3" x14ac:dyDescent="0.45">
      <c r="A1555" s="1">
        <v>43558</v>
      </c>
      <c r="B1555" t="s">
        <v>10</v>
      </c>
      <c r="C1555" t="s">
        <v>9</v>
      </c>
    </row>
    <row r="1556" spans="1:3" x14ac:dyDescent="0.45">
      <c r="A1556" s="1">
        <v>43559</v>
      </c>
      <c r="B1556" t="s">
        <v>10</v>
      </c>
      <c r="C1556" t="s">
        <v>9</v>
      </c>
    </row>
    <row r="1557" spans="1:3" x14ac:dyDescent="0.45">
      <c r="A1557" s="1">
        <v>43560</v>
      </c>
      <c r="B1557" t="s">
        <v>9</v>
      </c>
      <c r="C1557" t="s">
        <v>9</v>
      </c>
    </row>
    <row r="1558" spans="1:3" x14ac:dyDescent="0.45">
      <c r="A1558" s="1">
        <v>43561</v>
      </c>
      <c r="B1558" t="s">
        <v>9</v>
      </c>
      <c r="C1558" t="s">
        <v>9</v>
      </c>
    </row>
    <row r="1559" spans="1:3" x14ac:dyDescent="0.45">
      <c r="A1559" s="1">
        <v>43562</v>
      </c>
      <c r="B1559" t="s">
        <v>9</v>
      </c>
      <c r="C1559" t="s">
        <v>9</v>
      </c>
    </row>
    <row r="1560" spans="1:3" x14ac:dyDescent="0.45">
      <c r="A1560" s="1">
        <v>43563</v>
      </c>
      <c r="B1560" t="s">
        <v>9</v>
      </c>
      <c r="C1560" t="s">
        <v>9</v>
      </c>
    </row>
    <row r="1561" spans="1:3" x14ac:dyDescent="0.45">
      <c r="A1561" s="1">
        <v>43564</v>
      </c>
      <c r="B1561" t="s">
        <v>9</v>
      </c>
      <c r="C1561" t="s">
        <v>9</v>
      </c>
    </row>
    <row r="1562" spans="1:3" x14ac:dyDescent="0.45">
      <c r="A1562" s="1">
        <v>43565</v>
      </c>
      <c r="B1562" t="s">
        <v>9</v>
      </c>
      <c r="C1562" t="s">
        <v>9</v>
      </c>
    </row>
    <row r="1563" spans="1:3" x14ac:dyDescent="0.45">
      <c r="A1563" s="1">
        <v>43566</v>
      </c>
      <c r="B1563" t="s">
        <v>9</v>
      </c>
      <c r="C1563" t="s">
        <v>9</v>
      </c>
    </row>
    <row r="1564" spans="1:3" x14ac:dyDescent="0.45">
      <c r="A1564" s="1">
        <v>43567</v>
      </c>
      <c r="B1564" t="s">
        <v>9</v>
      </c>
      <c r="C1564" t="s">
        <v>9</v>
      </c>
    </row>
    <row r="1565" spans="1:3" x14ac:dyDescent="0.45">
      <c r="A1565" s="1">
        <v>43568</v>
      </c>
      <c r="B1565" t="s">
        <v>9</v>
      </c>
      <c r="C1565" t="s">
        <v>9</v>
      </c>
    </row>
    <row r="1566" spans="1:3" x14ac:dyDescent="0.45">
      <c r="A1566" s="1">
        <v>43569</v>
      </c>
      <c r="B1566" t="s">
        <v>9</v>
      </c>
      <c r="C1566" t="s">
        <v>9</v>
      </c>
    </row>
    <row r="1567" spans="1:3" x14ac:dyDescent="0.45">
      <c r="A1567" s="1">
        <v>43570</v>
      </c>
      <c r="B1567" t="s">
        <v>9</v>
      </c>
      <c r="C1567" t="s">
        <v>9</v>
      </c>
    </row>
    <row r="1568" spans="1:3" x14ac:dyDescent="0.45">
      <c r="A1568" s="1">
        <v>43571</v>
      </c>
      <c r="B1568" t="s">
        <v>9</v>
      </c>
      <c r="C1568" t="s">
        <v>9</v>
      </c>
    </row>
    <row r="1569" spans="1:3" x14ac:dyDescent="0.45">
      <c r="A1569" s="1">
        <v>43572</v>
      </c>
      <c r="B1569" t="s">
        <v>9</v>
      </c>
      <c r="C1569" t="s">
        <v>9</v>
      </c>
    </row>
    <row r="1570" spans="1:3" x14ac:dyDescent="0.45">
      <c r="A1570" s="1">
        <v>43573</v>
      </c>
      <c r="B1570" t="s">
        <v>9</v>
      </c>
      <c r="C1570" t="s">
        <v>9</v>
      </c>
    </row>
    <row r="1571" spans="1:3" x14ac:dyDescent="0.45">
      <c r="A1571" s="1">
        <v>43574</v>
      </c>
      <c r="B1571" t="s">
        <v>9</v>
      </c>
      <c r="C1571" t="s">
        <v>10</v>
      </c>
    </row>
    <row r="1572" spans="1:3" x14ac:dyDescent="0.45">
      <c r="A1572" s="1">
        <v>43575</v>
      </c>
      <c r="B1572" t="s">
        <v>9</v>
      </c>
      <c r="C1572" t="s">
        <v>10</v>
      </c>
    </row>
    <row r="1573" spans="1:3" x14ac:dyDescent="0.45">
      <c r="A1573" s="1">
        <v>43576</v>
      </c>
      <c r="B1573" t="s">
        <v>9</v>
      </c>
      <c r="C1573" t="s">
        <v>10</v>
      </c>
    </row>
    <row r="1574" spans="1:3" x14ac:dyDescent="0.45">
      <c r="A1574" s="1">
        <v>43577</v>
      </c>
      <c r="B1574" t="s">
        <v>9</v>
      </c>
      <c r="C1574" t="s">
        <v>10</v>
      </c>
    </row>
    <row r="1575" spans="1:3" x14ac:dyDescent="0.45">
      <c r="A1575" s="1">
        <v>43578</v>
      </c>
      <c r="B1575" t="s">
        <v>9</v>
      </c>
      <c r="C1575" t="s">
        <v>9</v>
      </c>
    </row>
    <row r="1576" spans="1:3" x14ac:dyDescent="0.45">
      <c r="A1576" s="1">
        <v>43579</v>
      </c>
      <c r="B1576" t="s">
        <v>10</v>
      </c>
      <c r="C1576" t="s">
        <v>9</v>
      </c>
    </row>
    <row r="1577" spans="1:3" x14ac:dyDescent="0.45">
      <c r="A1577" s="1">
        <v>43580</v>
      </c>
      <c r="B1577" t="s">
        <v>10</v>
      </c>
      <c r="C1577" t="s">
        <v>10</v>
      </c>
    </row>
    <row r="1578" spans="1:3" x14ac:dyDescent="0.45">
      <c r="A1578" s="1">
        <v>43581</v>
      </c>
      <c r="B1578" t="s">
        <v>10</v>
      </c>
      <c r="C1578" t="s">
        <v>9</v>
      </c>
    </row>
    <row r="1579" spans="1:3" x14ac:dyDescent="0.45">
      <c r="A1579" s="1">
        <v>43582</v>
      </c>
      <c r="B1579" t="s">
        <v>10</v>
      </c>
      <c r="C1579" t="s">
        <v>9</v>
      </c>
    </row>
    <row r="1580" spans="1:3" x14ac:dyDescent="0.45">
      <c r="A1580" s="1">
        <v>43583</v>
      </c>
      <c r="B1580" t="s">
        <v>10</v>
      </c>
      <c r="C1580" t="s">
        <v>9</v>
      </c>
    </row>
    <row r="1581" spans="1:3" x14ac:dyDescent="0.45">
      <c r="A1581" s="1">
        <v>43584</v>
      </c>
      <c r="B1581" t="s">
        <v>10</v>
      </c>
      <c r="C1581" t="s">
        <v>9</v>
      </c>
    </row>
    <row r="1582" spans="1:3" x14ac:dyDescent="0.45">
      <c r="A1582" s="1">
        <v>43585</v>
      </c>
      <c r="B1582" t="s">
        <v>10</v>
      </c>
      <c r="C1582" t="s">
        <v>9</v>
      </c>
    </row>
    <row r="1583" spans="1:3" x14ac:dyDescent="0.45">
      <c r="A1583" s="1">
        <v>43586</v>
      </c>
      <c r="B1583" t="s">
        <v>10</v>
      </c>
      <c r="C1583" t="s">
        <v>9</v>
      </c>
    </row>
    <row r="1584" spans="1:3" x14ac:dyDescent="0.45">
      <c r="A1584" s="1">
        <v>43587</v>
      </c>
      <c r="B1584" t="s">
        <v>10</v>
      </c>
      <c r="C1584" t="s">
        <v>9</v>
      </c>
    </row>
    <row r="1585" spans="1:3" x14ac:dyDescent="0.45">
      <c r="A1585" s="1">
        <v>43588</v>
      </c>
      <c r="B1585" t="s">
        <v>10</v>
      </c>
      <c r="C1585" t="s">
        <v>9</v>
      </c>
    </row>
    <row r="1586" spans="1:3" x14ac:dyDescent="0.45">
      <c r="A1586" s="1">
        <v>43589</v>
      </c>
      <c r="B1586" t="s">
        <v>10</v>
      </c>
      <c r="C1586" t="s">
        <v>9</v>
      </c>
    </row>
    <row r="1587" spans="1:3" x14ac:dyDescent="0.45">
      <c r="A1587" s="1">
        <v>43590</v>
      </c>
      <c r="B1587" t="s">
        <v>10</v>
      </c>
      <c r="C1587" t="s">
        <v>9</v>
      </c>
    </row>
    <row r="1588" spans="1:3" x14ac:dyDescent="0.45">
      <c r="A1588" s="1">
        <v>43591</v>
      </c>
      <c r="B1588" t="s">
        <v>10</v>
      </c>
      <c r="C1588" t="s">
        <v>9</v>
      </c>
    </row>
    <row r="1589" spans="1:3" x14ac:dyDescent="0.45">
      <c r="A1589" s="1">
        <v>43592</v>
      </c>
      <c r="B1589" t="s">
        <v>10</v>
      </c>
      <c r="C1589" t="s">
        <v>9</v>
      </c>
    </row>
    <row r="1590" spans="1:3" x14ac:dyDescent="0.45">
      <c r="A1590" s="1">
        <v>43593</v>
      </c>
      <c r="B1590" t="s">
        <v>10</v>
      </c>
      <c r="C1590" t="s">
        <v>9</v>
      </c>
    </row>
    <row r="1591" spans="1:3" x14ac:dyDescent="0.45">
      <c r="A1591" s="1">
        <v>43594</v>
      </c>
      <c r="B1591" t="s">
        <v>10</v>
      </c>
      <c r="C1591" t="s">
        <v>9</v>
      </c>
    </row>
    <row r="1592" spans="1:3" x14ac:dyDescent="0.45">
      <c r="A1592" s="1">
        <v>43595</v>
      </c>
      <c r="B1592" t="s">
        <v>10</v>
      </c>
      <c r="C1592" t="s">
        <v>9</v>
      </c>
    </row>
    <row r="1593" spans="1:3" x14ac:dyDescent="0.45">
      <c r="A1593" s="1">
        <v>43596</v>
      </c>
      <c r="B1593" t="s">
        <v>10</v>
      </c>
      <c r="C1593" t="s">
        <v>9</v>
      </c>
    </row>
    <row r="1594" spans="1:3" x14ac:dyDescent="0.45">
      <c r="A1594" s="1">
        <v>43597</v>
      </c>
      <c r="B1594" t="s">
        <v>10</v>
      </c>
      <c r="C1594" t="s">
        <v>9</v>
      </c>
    </row>
    <row r="1595" spans="1:3" x14ac:dyDescent="0.45">
      <c r="A1595" s="1">
        <v>43598</v>
      </c>
      <c r="B1595" t="s">
        <v>10</v>
      </c>
      <c r="C1595" t="s">
        <v>9</v>
      </c>
    </row>
    <row r="1596" spans="1:3" x14ac:dyDescent="0.45">
      <c r="A1596" s="1">
        <v>43599</v>
      </c>
      <c r="B1596" t="s">
        <v>10</v>
      </c>
      <c r="C1596" t="s">
        <v>9</v>
      </c>
    </row>
    <row r="1597" spans="1:3" x14ac:dyDescent="0.45">
      <c r="A1597" s="1">
        <v>43600</v>
      </c>
      <c r="B1597" t="s">
        <v>10</v>
      </c>
      <c r="C1597" t="s">
        <v>9</v>
      </c>
    </row>
    <row r="1598" spans="1:3" x14ac:dyDescent="0.45">
      <c r="A1598" s="1">
        <v>43601</v>
      </c>
      <c r="B1598" t="s">
        <v>10</v>
      </c>
      <c r="C1598" t="s">
        <v>9</v>
      </c>
    </row>
    <row r="1599" spans="1:3" x14ac:dyDescent="0.45">
      <c r="A1599" s="1">
        <v>43602</v>
      </c>
      <c r="B1599" t="s">
        <v>10</v>
      </c>
      <c r="C1599" t="s">
        <v>9</v>
      </c>
    </row>
    <row r="1600" spans="1:3" x14ac:dyDescent="0.45">
      <c r="A1600" s="1">
        <v>43603</v>
      </c>
      <c r="B1600" t="s">
        <v>10</v>
      </c>
      <c r="C1600" t="s">
        <v>9</v>
      </c>
    </row>
    <row r="1601" spans="1:3" x14ac:dyDescent="0.45">
      <c r="A1601" s="1">
        <v>43604</v>
      </c>
      <c r="B1601" t="s">
        <v>10</v>
      </c>
      <c r="C1601" t="s">
        <v>9</v>
      </c>
    </row>
    <row r="1602" spans="1:3" x14ac:dyDescent="0.45">
      <c r="A1602" s="1">
        <v>43605</v>
      </c>
      <c r="B1602" t="s">
        <v>10</v>
      </c>
      <c r="C1602" t="s">
        <v>9</v>
      </c>
    </row>
    <row r="1603" spans="1:3" x14ac:dyDescent="0.45">
      <c r="A1603" s="1">
        <v>43606</v>
      </c>
      <c r="B1603" t="s">
        <v>10</v>
      </c>
      <c r="C1603" t="s">
        <v>9</v>
      </c>
    </row>
    <row r="1604" spans="1:3" x14ac:dyDescent="0.45">
      <c r="A1604" s="1">
        <v>43607</v>
      </c>
      <c r="B1604" t="s">
        <v>10</v>
      </c>
      <c r="C1604" t="s">
        <v>9</v>
      </c>
    </row>
    <row r="1605" spans="1:3" x14ac:dyDescent="0.45">
      <c r="A1605" s="1">
        <v>43608</v>
      </c>
      <c r="B1605" t="s">
        <v>10</v>
      </c>
      <c r="C1605" t="s">
        <v>9</v>
      </c>
    </row>
    <row r="1606" spans="1:3" x14ac:dyDescent="0.45">
      <c r="A1606" s="1">
        <v>43609</v>
      </c>
      <c r="B1606" t="s">
        <v>10</v>
      </c>
      <c r="C1606" t="s">
        <v>9</v>
      </c>
    </row>
    <row r="1607" spans="1:3" x14ac:dyDescent="0.45">
      <c r="A1607" s="1">
        <v>43610</v>
      </c>
      <c r="B1607" t="s">
        <v>10</v>
      </c>
      <c r="C1607" t="s">
        <v>9</v>
      </c>
    </row>
    <row r="1608" spans="1:3" x14ac:dyDescent="0.45">
      <c r="A1608" s="1">
        <v>43611</v>
      </c>
      <c r="B1608" t="s">
        <v>10</v>
      </c>
      <c r="C1608" t="s">
        <v>9</v>
      </c>
    </row>
    <row r="1609" spans="1:3" x14ac:dyDescent="0.45">
      <c r="A1609" s="1">
        <v>43612</v>
      </c>
      <c r="B1609" t="s">
        <v>10</v>
      </c>
      <c r="C1609" t="s">
        <v>9</v>
      </c>
    </row>
    <row r="1610" spans="1:3" x14ac:dyDescent="0.45">
      <c r="A1610" s="1">
        <v>43613</v>
      </c>
      <c r="B1610" t="s">
        <v>10</v>
      </c>
      <c r="C1610" t="s">
        <v>9</v>
      </c>
    </row>
    <row r="1611" spans="1:3" x14ac:dyDescent="0.45">
      <c r="A1611" s="1">
        <v>43614</v>
      </c>
      <c r="B1611" t="s">
        <v>10</v>
      </c>
      <c r="C1611" t="s">
        <v>9</v>
      </c>
    </row>
    <row r="1612" spans="1:3" x14ac:dyDescent="0.45">
      <c r="A1612" s="1">
        <v>43615</v>
      </c>
      <c r="B1612" t="s">
        <v>10</v>
      </c>
      <c r="C1612" t="s">
        <v>9</v>
      </c>
    </row>
    <row r="1613" spans="1:3" x14ac:dyDescent="0.45">
      <c r="A1613" s="1">
        <v>43616</v>
      </c>
      <c r="B1613" t="s">
        <v>10</v>
      </c>
      <c r="C1613" t="s">
        <v>9</v>
      </c>
    </row>
    <row r="1614" spans="1:3" x14ac:dyDescent="0.45">
      <c r="A1614" s="1">
        <v>43617</v>
      </c>
      <c r="B1614" t="s">
        <v>10</v>
      </c>
      <c r="C1614" t="s">
        <v>9</v>
      </c>
    </row>
    <row r="1615" spans="1:3" x14ac:dyDescent="0.45">
      <c r="A1615" s="1">
        <v>43618</v>
      </c>
      <c r="B1615" t="s">
        <v>10</v>
      </c>
      <c r="C1615" t="s">
        <v>9</v>
      </c>
    </row>
    <row r="1616" spans="1:3" x14ac:dyDescent="0.45">
      <c r="A1616" s="1">
        <v>43619</v>
      </c>
      <c r="B1616" t="s">
        <v>10</v>
      </c>
      <c r="C1616" t="s">
        <v>9</v>
      </c>
    </row>
    <row r="1617" spans="1:3" x14ac:dyDescent="0.45">
      <c r="A1617" s="1">
        <v>43620</v>
      </c>
      <c r="B1617" t="s">
        <v>10</v>
      </c>
      <c r="C1617" t="s">
        <v>9</v>
      </c>
    </row>
    <row r="1618" spans="1:3" x14ac:dyDescent="0.45">
      <c r="A1618" s="1">
        <v>43621</v>
      </c>
      <c r="B1618" t="s">
        <v>10</v>
      </c>
      <c r="C1618" t="s">
        <v>9</v>
      </c>
    </row>
    <row r="1619" spans="1:3" x14ac:dyDescent="0.45">
      <c r="A1619" s="1">
        <v>43622</v>
      </c>
      <c r="B1619" t="s">
        <v>10</v>
      </c>
      <c r="C1619" t="s">
        <v>9</v>
      </c>
    </row>
    <row r="1620" spans="1:3" x14ac:dyDescent="0.45">
      <c r="A1620" s="1">
        <v>43623</v>
      </c>
      <c r="B1620" t="s">
        <v>10</v>
      </c>
      <c r="C1620" t="s">
        <v>9</v>
      </c>
    </row>
    <row r="1621" spans="1:3" x14ac:dyDescent="0.45">
      <c r="A1621" s="1">
        <v>43624</v>
      </c>
      <c r="B1621" t="s">
        <v>10</v>
      </c>
      <c r="C1621" t="s">
        <v>9</v>
      </c>
    </row>
    <row r="1622" spans="1:3" x14ac:dyDescent="0.45">
      <c r="A1622" s="1">
        <v>43625</v>
      </c>
      <c r="B1622" t="s">
        <v>10</v>
      </c>
      <c r="C1622" t="s">
        <v>9</v>
      </c>
    </row>
    <row r="1623" spans="1:3" x14ac:dyDescent="0.45">
      <c r="A1623" s="1">
        <v>43626</v>
      </c>
      <c r="B1623" t="s">
        <v>10</v>
      </c>
      <c r="C1623" t="s">
        <v>10</v>
      </c>
    </row>
    <row r="1624" spans="1:3" x14ac:dyDescent="0.45">
      <c r="A1624" s="1">
        <v>43627</v>
      </c>
      <c r="B1624" t="s">
        <v>10</v>
      </c>
      <c r="C1624" t="s">
        <v>9</v>
      </c>
    </row>
    <row r="1625" spans="1:3" x14ac:dyDescent="0.45">
      <c r="A1625" s="1">
        <v>43628</v>
      </c>
      <c r="B1625" t="s">
        <v>10</v>
      </c>
      <c r="C1625" t="s">
        <v>9</v>
      </c>
    </row>
    <row r="1626" spans="1:3" x14ac:dyDescent="0.45">
      <c r="A1626" s="1">
        <v>43629</v>
      </c>
      <c r="B1626" t="s">
        <v>10</v>
      </c>
      <c r="C1626" t="s">
        <v>9</v>
      </c>
    </row>
    <row r="1627" spans="1:3" x14ac:dyDescent="0.45">
      <c r="A1627" s="1">
        <v>43630</v>
      </c>
      <c r="B1627" t="s">
        <v>10</v>
      </c>
      <c r="C1627" t="s">
        <v>9</v>
      </c>
    </row>
    <row r="1628" spans="1:3" x14ac:dyDescent="0.45">
      <c r="A1628" s="1">
        <v>43631</v>
      </c>
      <c r="B1628" t="s">
        <v>10</v>
      </c>
      <c r="C1628" t="s">
        <v>9</v>
      </c>
    </row>
    <row r="1629" spans="1:3" x14ac:dyDescent="0.45">
      <c r="A1629" s="1">
        <v>43632</v>
      </c>
      <c r="B1629" t="s">
        <v>10</v>
      </c>
      <c r="C1629" t="s">
        <v>9</v>
      </c>
    </row>
    <row r="1630" spans="1:3" x14ac:dyDescent="0.45">
      <c r="A1630" s="1">
        <v>43633</v>
      </c>
      <c r="B1630" t="s">
        <v>10</v>
      </c>
      <c r="C1630" t="s">
        <v>9</v>
      </c>
    </row>
    <row r="1631" spans="1:3" x14ac:dyDescent="0.45">
      <c r="A1631" s="1">
        <v>43634</v>
      </c>
      <c r="B1631" t="s">
        <v>10</v>
      </c>
      <c r="C1631" t="s">
        <v>9</v>
      </c>
    </row>
    <row r="1632" spans="1:3" x14ac:dyDescent="0.45">
      <c r="A1632" s="1">
        <v>43635</v>
      </c>
      <c r="B1632" t="s">
        <v>10</v>
      </c>
      <c r="C1632" t="s">
        <v>9</v>
      </c>
    </row>
    <row r="1633" spans="1:3" x14ac:dyDescent="0.45">
      <c r="A1633" s="1">
        <v>43636</v>
      </c>
      <c r="B1633" t="s">
        <v>10</v>
      </c>
      <c r="C1633" t="s">
        <v>9</v>
      </c>
    </row>
    <row r="1634" spans="1:3" x14ac:dyDescent="0.45">
      <c r="A1634" s="1">
        <v>43637</v>
      </c>
      <c r="B1634" t="s">
        <v>10</v>
      </c>
      <c r="C1634" t="s">
        <v>9</v>
      </c>
    </row>
    <row r="1635" spans="1:3" x14ac:dyDescent="0.45">
      <c r="A1635" s="1">
        <v>43638</v>
      </c>
      <c r="B1635" t="s">
        <v>10</v>
      </c>
      <c r="C1635" t="s">
        <v>9</v>
      </c>
    </row>
    <row r="1636" spans="1:3" x14ac:dyDescent="0.45">
      <c r="A1636" s="1">
        <v>43639</v>
      </c>
      <c r="B1636" t="s">
        <v>10</v>
      </c>
      <c r="C1636" t="s">
        <v>9</v>
      </c>
    </row>
    <row r="1637" spans="1:3" x14ac:dyDescent="0.45">
      <c r="A1637" s="1">
        <v>43640</v>
      </c>
      <c r="B1637" t="s">
        <v>10</v>
      </c>
      <c r="C1637" t="s">
        <v>9</v>
      </c>
    </row>
    <row r="1638" spans="1:3" x14ac:dyDescent="0.45">
      <c r="A1638" s="1">
        <v>43641</v>
      </c>
      <c r="B1638" t="s">
        <v>10</v>
      </c>
      <c r="C1638" t="s">
        <v>9</v>
      </c>
    </row>
    <row r="1639" spans="1:3" x14ac:dyDescent="0.45">
      <c r="A1639" s="1">
        <v>43642</v>
      </c>
      <c r="B1639" t="s">
        <v>10</v>
      </c>
      <c r="C1639" t="s">
        <v>9</v>
      </c>
    </row>
    <row r="1640" spans="1:3" x14ac:dyDescent="0.45">
      <c r="A1640" s="1">
        <v>43643</v>
      </c>
      <c r="B1640" t="s">
        <v>10</v>
      </c>
      <c r="C1640" t="s">
        <v>9</v>
      </c>
    </row>
    <row r="1641" spans="1:3" x14ac:dyDescent="0.45">
      <c r="A1641" s="1">
        <v>43644</v>
      </c>
      <c r="B1641" t="s">
        <v>9</v>
      </c>
      <c r="C1641" t="s">
        <v>9</v>
      </c>
    </row>
    <row r="1642" spans="1:3" x14ac:dyDescent="0.45">
      <c r="A1642" s="1">
        <v>43645</v>
      </c>
      <c r="B1642" t="s">
        <v>9</v>
      </c>
      <c r="C1642" t="s">
        <v>9</v>
      </c>
    </row>
    <row r="1643" spans="1:3" x14ac:dyDescent="0.45">
      <c r="A1643" s="1">
        <v>43646</v>
      </c>
      <c r="B1643" t="s">
        <v>9</v>
      </c>
      <c r="C1643" t="s">
        <v>9</v>
      </c>
    </row>
    <row r="1644" spans="1:3" x14ac:dyDescent="0.45">
      <c r="A1644" s="1">
        <v>43647</v>
      </c>
      <c r="B1644" t="s">
        <v>9</v>
      </c>
      <c r="C1644" t="s">
        <v>9</v>
      </c>
    </row>
    <row r="1645" spans="1:3" x14ac:dyDescent="0.45">
      <c r="A1645" s="1">
        <v>43648</v>
      </c>
      <c r="B1645" t="s">
        <v>9</v>
      </c>
      <c r="C1645" t="s">
        <v>9</v>
      </c>
    </row>
    <row r="1646" spans="1:3" x14ac:dyDescent="0.45">
      <c r="A1646" s="1">
        <v>43649</v>
      </c>
      <c r="B1646" t="s">
        <v>9</v>
      </c>
      <c r="C1646" t="s">
        <v>9</v>
      </c>
    </row>
    <row r="1647" spans="1:3" x14ac:dyDescent="0.45">
      <c r="A1647" s="1">
        <v>43650</v>
      </c>
      <c r="B1647" t="s">
        <v>9</v>
      </c>
      <c r="C1647" t="s">
        <v>9</v>
      </c>
    </row>
    <row r="1648" spans="1:3" x14ac:dyDescent="0.45">
      <c r="A1648" s="1">
        <v>43651</v>
      </c>
      <c r="B1648" t="s">
        <v>9</v>
      </c>
      <c r="C1648" t="s">
        <v>9</v>
      </c>
    </row>
    <row r="1649" spans="1:3" x14ac:dyDescent="0.45">
      <c r="A1649" s="1">
        <v>43652</v>
      </c>
      <c r="B1649" t="s">
        <v>9</v>
      </c>
      <c r="C1649" t="s">
        <v>9</v>
      </c>
    </row>
    <row r="1650" spans="1:3" x14ac:dyDescent="0.45">
      <c r="A1650" s="1">
        <v>43653</v>
      </c>
      <c r="B1650" t="s">
        <v>9</v>
      </c>
      <c r="C1650" t="s">
        <v>9</v>
      </c>
    </row>
    <row r="1651" spans="1:3" x14ac:dyDescent="0.45">
      <c r="A1651" s="1">
        <v>43654</v>
      </c>
      <c r="B1651" t="s">
        <v>9</v>
      </c>
      <c r="C1651" t="s">
        <v>9</v>
      </c>
    </row>
    <row r="1652" spans="1:3" x14ac:dyDescent="0.45">
      <c r="A1652" s="1">
        <v>43655</v>
      </c>
      <c r="B1652" t="s">
        <v>9</v>
      </c>
      <c r="C1652" t="s">
        <v>9</v>
      </c>
    </row>
    <row r="1653" spans="1:3" x14ac:dyDescent="0.45">
      <c r="A1653" s="1">
        <v>43656</v>
      </c>
      <c r="B1653" t="s">
        <v>9</v>
      </c>
      <c r="C1653" t="s">
        <v>9</v>
      </c>
    </row>
    <row r="1654" spans="1:3" x14ac:dyDescent="0.45">
      <c r="A1654" s="1">
        <v>43657</v>
      </c>
      <c r="B1654" t="s">
        <v>9</v>
      </c>
      <c r="C1654" t="s">
        <v>9</v>
      </c>
    </row>
    <row r="1655" spans="1:3" x14ac:dyDescent="0.45">
      <c r="A1655" s="1">
        <v>43658</v>
      </c>
      <c r="B1655" t="s">
        <v>9</v>
      </c>
      <c r="C1655" t="s">
        <v>9</v>
      </c>
    </row>
    <row r="1656" spans="1:3" x14ac:dyDescent="0.45">
      <c r="A1656" s="1">
        <v>43659</v>
      </c>
      <c r="B1656" t="s">
        <v>9</v>
      </c>
      <c r="C1656" t="s">
        <v>9</v>
      </c>
    </row>
    <row r="1657" spans="1:3" x14ac:dyDescent="0.45">
      <c r="A1657" s="1">
        <v>43660</v>
      </c>
      <c r="B1657" t="s">
        <v>9</v>
      </c>
      <c r="C1657" t="s">
        <v>9</v>
      </c>
    </row>
    <row r="1658" spans="1:3" x14ac:dyDescent="0.45">
      <c r="A1658" s="1">
        <v>43661</v>
      </c>
      <c r="B1658" t="s">
        <v>9</v>
      </c>
      <c r="C1658" t="s">
        <v>9</v>
      </c>
    </row>
    <row r="1659" spans="1:3" x14ac:dyDescent="0.45">
      <c r="A1659" s="1">
        <v>43662</v>
      </c>
      <c r="B1659" t="s">
        <v>10</v>
      </c>
      <c r="C1659" t="s">
        <v>9</v>
      </c>
    </row>
    <row r="1660" spans="1:3" x14ac:dyDescent="0.45">
      <c r="A1660" s="1">
        <v>43663</v>
      </c>
      <c r="B1660" t="s">
        <v>10</v>
      </c>
      <c r="C1660" t="s">
        <v>9</v>
      </c>
    </row>
    <row r="1661" spans="1:3" x14ac:dyDescent="0.45">
      <c r="A1661" s="1">
        <v>43664</v>
      </c>
      <c r="B1661" t="s">
        <v>10</v>
      </c>
      <c r="C1661" t="s">
        <v>9</v>
      </c>
    </row>
    <row r="1662" spans="1:3" x14ac:dyDescent="0.45">
      <c r="A1662" s="1">
        <v>43665</v>
      </c>
      <c r="B1662" t="s">
        <v>10</v>
      </c>
      <c r="C1662" t="s">
        <v>9</v>
      </c>
    </row>
    <row r="1663" spans="1:3" x14ac:dyDescent="0.45">
      <c r="A1663" s="1">
        <v>43666</v>
      </c>
      <c r="B1663" t="s">
        <v>10</v>
      </c>
      <c r="C1663" t="s">
        <v>9</v>
      </c>
    </row>
    <row r="1664" spans="1:3" x14ac:dyDescent="0.45">
      <c r="A1664" s="1">
        <v>43667</v>
      </c>
      <c r="B1664" t="s">
        <v>10</v>
      </c>
      <c r="C1664" t="s">
        <v>9</v>
      </c>
    </row>
    <row r="1665" spans="1:3" x14ac:dyDescent="0.45">
      <c r="A1665" s="1">
        <v>43668</v>
      </c>
      <c r="B1665" t="s">
        <v>10</v>
      </c>
      <c r="C1665" t="s">
        <v>9</v>
      </c>
    </row>
    <row r="1666" spans="1:3" x14ac:dyDescent="0.45">
      <c r="A1666" s="1">
        <v>43669</v>
      </c>
      <c r="B1666" t="s">
        <v>10</v>
      </c>
      <c r="C1666" t="s">
        <v>9</v>
      </c>
    </row>
    <row r="1667" spans="1:3" x14ac:dyDescent="0.45">
      <c r="A1667" s="1">
        <v>43670</v>
      </c>
      <c r="B1667" t="s">
        <v>10</v>
      </c>
      <c r="C1667" t="s">
        <v>9</v>
      </c>
    </row>
    <row r="1668" spans="1:3" x14ac:dyDescent="0.45">
      <c r="A1668" s="1">
        <v>43671</v>
      </c>
      <c r="B1668" t="s">
        <v>10</v>
      </c>
      <c r="C1668" t="s">
        <v>9</v>
      </c>
    </row>
    <row r="1669" spans="1:3" x14ac:dyDescent="0.45">
      <c r="A1669" s="1">
        <v>43672</v>
      </c>
      <c r="B1669" t="s">
        <v>10</v>
      </c>
      <c r="C1669" t="s">
        <v>9</v>
      </c>
    </row>
    <row r="1670" spans="1:3" x14ac:dyDescent="0.45">
      <c r="A1670" s="1">
        <v>43673</v>
      </c>
      <c r="B1670" t="s">
        <v>10</v>
      </c>
      <c r="C1670" t="s">
        <v>9</v>
      </c>
    </row>
    <row r="1671" spans="1:3" x14ac:dyDescent="0.45">
      <c r="A1671" s="1">
        <v>43674</v>
      </c>
      <c r="B1671" t="s">
        <v>10</v>
      </c>
      <c r="C1671" t="s">
        <v>9</v>
      </c>
    </row>
    <row r="1672" spans="1:3" x14ac:dyDescent="0.45">
      <c r="A1672" s="1">
        <v>43675</v>
      </c>
      <c r="B1672" t="s">
        <v>10</v>
      </c>
      <c r="C1672" t="s">
        <v>9</v>
      </c>
    </row>
    <row r="1673" spans="1:3" x14ac:dyDescent="0.45">
      <c r="A1673" s="1">
        <v>43676</v>
      </c>
      <c r="B1673" t="s">
        <v>10</v>
      </c>
      <c r="C1673" t="s">
        <v>9</v>
      </c>
    </row>
    <row r="1674" spans="1:3" x14ac:dyDescent="0.45">
      <c r="A1674" s="1">
        <v>43677</v>
      </c>
      <c r="B1674" t="s">
        <v>10</v>
      </c>
      <c r="C1674" t="s">
        <v>9</v>
      </c>
    </row>
    <row r="1675" spans="1:3" x14ac:dyDescent="0.45">
      <c r="A1675" s="1">
        <v>43678</v>
      </c>
      <c r="B1675" t="s">
        <v>10</v>
      </c>
      <c r="C1675" t="s">
        <v>9</v>
      </c>
    </row>
    <row r="1676" spans="1:3" x14ac:dyDescent="0.45">
      <c r="A1676" s="1">
        <v>43679</v>
      </c>
      <c r="B1676" t="s">
        <v>10</v>
      </c>
      <c r="C1676" t="s">
        <v>9</v>
      </c>
    </row>
    <row r="1677" spans="1:3" x14ac:dyDescent="0.45">
      <c r="A1677" s="1">
        <v>43680</v>
      </c>
      <c r="B1677" t="s">
        <v>10</v>
      </c>
      <c r="C1677" t="s">
        <v>9</v>
      </c>
    </row>
    <row r="1678" spans="1:3" x14ac:dyDescent="0.45">
      <c r="A1678" s="1">
        <v>43681</v>
      </c>
      <c r="B1678" t="s">
        <v>10</v>
      </c>
      <c r="C1678" t="s">
        <v>9</v>
      </c>
    </row>
    <row r="1679" spans="1:3" x14ac:dyDescent="0.45">
      <c r="A1679" s="1">
        <v>43682</v>
      </c>
      <c r="B1679" t="s">
        <v>10</v>
      </c>
      <c r="C1679" t="s">
        <v>9</v>
      </c>
    </row>
    <row r="1680" spans="1:3" x14ac:dyDescent="0.45">
      <c r="A1680" s="1">
        <v>43683</v>
      </c>
      <c r="B1680" t="s">
        <v>10</v>
      </c>
      <c r="C1680" t="s">
        <v>9</v>
      </c>
    </row>
    <row r="1681" spans="1:3" x14ac:dyDescent="0.45">
      <c r="A1681" s="1">
        <v>43684</v>
      </c>
      <c r="B1681" t="s">
        <v>10</v>
      </c>
      <c r="C1681" t="s">
        <v>9</v>
      </c>
    </row>
    <row r="1682" spans="1:3" x14ac:dyDescent="0.45">
      <c r="A1682" s="1">
        <v>43685</v>
      </c>
      <c r="B1682" t="s">
        <v>10</v>
      </c>
      <c r="C1682" t="s">
        <v>9</v>
      </c>
    </row>
    <row r="1683" spans="1:3" x14ac:dyDescent="0.45">
      <c r="A1683" s="1">
        <v>43686</v>
      </c>
      <c r="B1683" t="s">
        <v>10</v>
      </c>
      <c r="C1683" t="s">
        <v>9</v>
      </c>
    </row>
    <row r="1684" spans="1:3" x14ac:dyDescent="0.45">
      <c r="A1684" s="1">
        <v>43687</v>
      </c>
      <c r="B1684" t="s">
        <v>10</v>
      </c>
      <c r="C1684" t="s">
        <v>9</v>
      </c>
    </row>
    <row r="1685" spans="1:3" x14ac:dyDescent="0.45">
      <c r="A1685" s="1">
        <v>43688</v>
      </c>
      <c r="B1685" t="s">
        <v>10</v>
      </c>
      <c r="C1685" t="s">
        <v>9</v>
      </c>
    </row>
    <row r="1686" spans="1:3" x14ac:dyDescent="0.45">
      <c r="A1686" s="1">
        <v>43689</v>
      </c>
      <c r="B1686" t="s">
        <v>10</v>
      </c>
      <c r="C1686" t="s">
        <v>9</v>
      </c>
    </row>
    <row r="1687" spans="1:3" x14ac:dyDescent="0.45">
      <c r="A1687" s="1">
        <v>43690</v>
      </c>
      <c r="B1687" t="s">
        <v>10</v>
      </c>
      <c r="C1687" t="s">
        <v>9</v>
      </c>
    </row>
    <row r="1688" spans="1:3" x14ac:dyDescent="0.45">
      <c r="A1688" s="1">
        <v>43691</v>
      </c>
      <c r="B1688" t="s">
        <v>10</v>
      </c>
      <c r="C1688" t="s">
        <v>9</v>
      </c>
    </row>
    <row r="1689" spans="1:3" x14ac:dyDescent="0.45">
      <c r="A1689" s="1">
        <v>43692</v>
      </c>
      <c r="B1689" t="s">
        <v>10</v>
      </c>
      <c r="C1689" t="s">
        <v>9</v>
      </c>
    </row>
    <row r="1690" spans="1:3" x14ac:dyDescent="0.45">
      <c r="A1690" s="1">
        <v>43693</v>
      </c>
      <c r="B1690" t="s">
        <v>10</v>
      </c>
      <c r="C1690" t="s">
        <v>9</v>
      </c>
    </row>
    <row r="1691" spans="1:3" x14ac:dyDescent="0.45">
      <c r="A1691" s="1">
        <v>43694</v>
      </c>
      <c r="B1691" t="s">
        <v>10</v>
      </c>
      <c r="C1691" t="s">
        <v>9</v>
      </c>
    </row>
    <row r="1692" spans="1:3" x14ac:dyDescent="0.45">
      <c r="A1692" s="1">
        <v>43695</v>
      </c>
      <c r="B1692" t="s">
        <v>10</v>
      </c>
      <c r="C1692" t="s">
        <v>9</v>
      </c>
    </row>
    <row r="1693" spans="1:3" x14ac:dyDescent="0.45">
      <c r="A1693" s="1">
        <v>43696</v>
      </c>
      <c r="B1693" t="s">
        <v>10</v>
      </c>
      <c r="C1693" t="s">
        <v>9</v>
      </c>
    </row>
    <row r="1694" spans="1:3" x14ac:dyDescent="0.45">
      <c r="A1694" s="1">
        <v>43697</v>
      </c>
      <c r="B1694" t="s">
        <v>10</v>
      </c>
      <c r="C1694" t="s">
        <v>9</v>
      </c>
    </row>
    <row r="1695" spans="1:3" x14ac:dyDescent="0.45">
      <c r="A1695" s="1">
        <v>43698</v>
      </c>
      <c r="B1695" t="s">
        <v>10</v>
      </c>
      <c r="C1695" t="s">
        <v>9</v>
      </c>
    </row>
    <row r="1696" spans="1:3" x14ac:dyDescent="0.45">
      <c r="A1696" s="1">
        <v>43699</v>
      </c>
      <c r="B1696" t="s">
        <v>10</v>
      </c>
      <c r="C1696" t="s">
        <v>9</v>
      </c>
    </row>
    <row r="1697" spans="1:3" x14ac:dyDescent="0.45">
      <c r="A1697" s="1">
        <v>43700</v>
      </c>
      <c r="B1697" t="s">
        <v>10</v>
      </c>
      <c r="C1697" t="s">
        <v>9</v>
      </c>
    </row>
    <row r="1698" spans="1:3" x14ac:dyDescent="0.45">
      <c r="A1698" s="1">
        <v>43701</v>
      </c>
      <c r="B1698" t="s">
        <v>10</v>
      </c>
      <c r="C1698" t="s">
        <v>9</v>
      </c>
    </row>
    <row r="1699" spans="1:3" x14ac:dyDescent="0.45">
      <c r="A1699" s="1">
        <v>43702</v>
      </c>
      <c r="B1699" t="s">
        <v>10</v>
      </c>
      <c r="C1699" t="s">
        <v>9</v>
      </c>
    </row>
    <row r="1700" spans="1:3" x14ac:dyDescent="0.45">
      <c r="A1700" s="1">
        <v>43703</v>
      </c>
      <c r="B1700" t="s">
        <v>10</v>
      </c>
      <c r="C1700" t="s">
        <v>9</v>
      </c>
    </row>
    <row r="1701" spans="1:3" x14ac:dyDescent="0.45">
      <c r="A1701" s="1">
        <v>43704</v>
      </c>
      <c r="B1701" t="s">
        <v>10</v>
      </c>
      <c r="C1701" t="s">
        <v>9</v>
      </c>
    </row>
    <row r="1702" spans="1:3" x14ac:dyDescent="0.45">
      <c r="A1702" s="1">
        <v>43705</v>
      </c>
      <c r="B1702" t="s">
        <v>10</v>
      </c>
      <c r="C1702" t="s">
        <v>9</v>
      </c>
    </row>
    <row r="1703" spans="1:3" x14ac:dyDescent="0.45">
      <c r="A1703" s="1">
        <v>43706</v>
      </c>
      <c r="B1703" t="s">
        <v>10</v>
      </c>
      <c r="C1703" t="s">
        <v>9</v>
      </c>
    </row>
    <row r="1704" spans="1:3" x14ac:dyDescent="0.45">
      <c r="A1704" s="1">
        <v>43707</v>
      </c>
      <c r="B1704" t="s">
        <v>10</v>
      </c>
      <c r="C1704" t="s">
        <v>9</v>
      </c>
    </row>
    <row r="1705" spans="1:3" x14ac:dyDescent="0.45">
      <c r="A1705" s="1">
        <v>43708</v>
      </c>
      <c r="B1705" t="s">
        <v>10</v>
      </c>
      <c r="C1705" t="s">
        <v>9</v>
      </c>
    </row>
    <row r="1706" spans="1:3" x14ac:dyDescent="0.45">
      <c r="A1706" s="1">
        <v>43709</v>
      </c>
      <c r="B1706" t="s">
        <v>10</v>
      </c>
      <c r="C1706" t="s">
        <v>9</v>
      </c>
    </row>
    <row r="1707" spans="1:3" x14ac:dyDescent="0.45">
      <c r="A1707" s="1">
        <v>43710</v>
      </c>
      <c r="B1707" t="s">
        <v>10</v>
      </c>
      <c r="C1707" t="s">
        <v>9</v>
      </c>
    </row>
    <row r="1708" spans="1:3" x14ac:dyDescent="0.45">
      <c r="A1708" s="1">
        <v>43711</v>
      </c>
      <c r="B1708" t="s">
        <v>10</v>
      </c>
      <c r="C1708" t="s">
        <v>9</v>
      </c>
    </row>
    <row r="1709" spans="1:3" x14ac:dyDescent="0.45">
      <c r="A1709" s="1">
        <v>43712</v>
      </c>
      <c r="B1709" t="s">
        <v>10</v>
      </c>
      <c r="C1709" t="s">
        <v>9</v>
      </c>
    </row>
    <row r="1710" spans="1:3" x14ac:dyDescent="0.45">
      <c r="A1710" s="1">
        <v>43713</v>
      </c>
      <c r="B1710" t="s">
        <v>10</v>
      </c>
      <c r="C1710" t="s">
        <v>9</v>
      </c>
    </row>
    <row r="1711" spans="1:3" x14ac:dyDescent="0.45">
      <c r="A1711" s="1">
        <v>43714</v>
      </c>
      <c r="B1711" t="s">
        <v>10</v>
      </c>
      <c r="C1711" t="s">
        <v>9</v>
      </c>
    </row>
    <row r="1712" spans="1:3" x14ac:dyDescent="0.45">
      <c r="A1712" s="1">
        <v>43715</v>
      </c>
      <c r="B1712" t="s">
        <v>10</v>
      </c>
      <c r="C1712" t="s">
        <v>9</v>
      </c>
    </row>
    <row r="1713" spans="1:3" x14ac:dyDescent="0.45">
      <c r="A1713" s="1">
        <v>43716</v>
      </c>
      <c r="B1713" t="s">
        <v>10</v>
      </c>
      <c r="C1713" t="s">
        <v>9</v>
      </c>
    </row>
    <row r="1714" spans="1:3" x14ac:dyDescent="0.45">
      <c r="A1714" s="1">
        <v>43717</v>
      </c>
      <c r="B1714" t="s">
        <v>10</v>
      </c>
      <c r="C1714" t="s">
        <v>9</v>
      </c>
    </row>
    <row r="1715" spans="1:3" x14ac:dyDescent="0.45">
      <c r="A1715" s="1">
        <v>43718</v>
      </c>
      <c r="B1715" t="s">
        <v>10</v>
      </c>
      <c r="C1715" t="s">
        <v>9</v>
      </c>
    </row>
    <row r="1716" spans="1:3" x14ac:dyDescent="0.45">
      <c r="A1716" s="1">
        <v>43719</v>
      </c>
      <c r="B1716" t="s">
        <v>10</v>
      </c>
      <c r="C1716" t="s">
        <v>9</v>
      </c>
    </row>
    <row r="1717" spans="1:3" x14ac:dyDescent="0.45">
      <c r="A1717" s="1">
        <v>43720</v>
      </c>
      <c r="B1717" t="s">
        <v>10</v>
      </c>
      <c r="C1717" t="s">
        <v>9</v>
      </c>
    </row>
    <row r="1718" spans="1:3" x14ac:dyDescent="0.45">
      <c r="A1718" s="1">
        <v>43721</v>
      </c>
      <c r="B1718" t="s">
        <v>10</v>
      </c>
      <c r="C1718" t="s">
        <v>9</v>
      </c>
    </row>
    <row r="1719" spans="1:3" x14ac:dyDescent="0.45">
      <c r="A1719" s="1">
        <v>43722</v>
      </c>
      <c r="B1719" t="s">
        <v>10</v>
      </c>
      <c r="C1719" t="s">
        <v>9</v>
      </c>
    </row>
    <row r="1720" spans="1:3" x14ac:dyDescent="0.45">
      <c r="A1720" s="1">
        <v>43723</v>
      </c>
      <c r="B1720" t="s">
        <v>10</v>
      </c>
      <c r="C1720" t="s">
        <v>9</v>
      </c>
    </row>
    <row r="1721" spans="1:3" x14ac:dyDescent="0.45">
      <c r="A1721" s="1">
        <v>43724</v>
      </c>
      <c r="B1721" t="s">
        <v>10</v>
      </c>
      <c r="C1721" t="s">
        <v>9</v>
      </c>
    </row>
    <row r="1722" spans="1:3" x14ac:dyDescent="0.45">
      <c r="A1722" s="1">
        <v>43725</v>
      </c>
      <c r="B1722" t="s">
        <v>10</v>
      </c>
      <c r="C1722" t="s">
        <v>9</v>
      </c>
    </row>
    <row r="1723" spans="1:3" x14ac:dyDescent="0.45">
      <c r="A1723" s="1">
        <v>43726</v>
      </c>
      <c r="B1723" t="s">
        <v>10</v>
      </c>
      <c r="C1723" t="s">
        <v>9</v>
      </c>
    </row>
    <row r="1724" spans="1:3" x14ac:dyDescent="0.45">
      <c r="A1724" s="1">
        <v>43727</v>
      </c>
      <c r="B1724" t="s">
        <v>10</v>
      </c>
      <c r="C1724" t="s">
        <v>9</v>
      </c>
    </row>
    <row r="1725" spans="1:3" x14ac:dyDescent="0.45">
      <c r="A1725" s="1">
        <v>43728</v>
      </c>
      <c r="B1725" t="s">
        <v>9</v>
      </c>
      <c r="C1725" t="s">
        <v>9</v>
      </c>
    </row>
    <row r="1726" spans="1:3" x14ac:dyDescent="0.45">
      <c r="A1726" s="1">
        <v>43729</v>
      </c>
      <c r="B1726" t="s">
        <v>9</v>
      </c>
      <c r="C1726" t="s">
        <v>9</v>
      </c>
    </row>
    <row r="1727" spans="1:3" x14ac:dyDescent="0.45">
      <c r="A1727" s="1">
        <v>43730</v>
      </c>
      <c r="B1727" t="s">
        <v>9</v>
      </c>
      <c r="C1727" t="s">
        <v>9</v>
      </c>
    </row>
    <row r="1728" spans="1:3" x14ac:dyDescent="0.45">
      <c r="A1728" s="1">
        <v>43731</v>
      </c>
      <c r="B1728" t="s">
        <v>9</v>
      </c>
      <c r="C1728" t="s">
        <v>9</v>
      </c>
    </row>
    <row r="1729" spans="1:3" x14ac:dyDescent="0.45">
      <c r="A1729" s="1">
        <v>43732</v>
      </c>
      <c r="B1729" t="s">
        <v>9</v>
      </c>
      <c r="C1729" t="s">
        <v>9</v>
      </c>
    </row>
    <row r="1730" spans="1:3" x14ac:dyDescent="0.45">
      <c r="A1730" s="1">
        <v>43733</v>
      </c>
      <c r="B1730" t="s">
        <v>9</v>
      </c>
      <c r="C1730" t="s">
        <v>9</v>
      </c>
    </row>
    <row r="1731" spans="1:3" x14ac:dyDescent="0.45">
      <c r="A1731" s="1">
        <v>43734</v>
      </c>
      <c r="B1731" t="s">
        <v>9</v>
      </c>
      <c r="C1731" t="s">
        <v>9</v>
      </c>
    </row>
    <row r="1732" spans="1:3" x14ac:dyDescent="0.45">
      <c r="A1732" s="1">
        <v>43735</v>
      </c>
      <c r="B1732" t="s">
        <v>9</v>
      </c>
      <c r="C1732" t="s">
        <v>10</v>
      </c>
    </row>
    <row r="1733" spans="1:3" x14ac:dyDescent="0.45">
      <c r="A1733" s="1">
        <v>43736</v>
      </c>
      <c r="B1733" t="s">
        <v>9</v>
      </c>
      <c r="C1733" t="s">
        <v>9</v>
      </c>
    </row>
    <row r="1734" spans="1:3" x14ac:dyDescent="0.45">
      <c r="A1734" s="1">
        <v>43737</v>
      </c>
      <c r="B1734" t="s">
        <v>9</v>
      </c>
      <c r="C1734" t="s">
        <v>9</v>
      </c>
    </row>
    <row r="1735" spans="1:3" x14ac:dyDescent="0.45">
      <c r="A1735" s="1">
        <v>43738</v>
      </c>
      <c r="B1735" t="s">
        <v>9</v>
      </c>
      <c r="C1735" t="s">
        <v>9</v>
      </c>
    </row>
    <row r="1736" spans="1:3" x14ac:dyDescent="0.45">
      <c r="A1736" s="1">
        <v>43739</v>
      </c>
      <c r="B1736" t="s">
        <v>9</v>
      </c>
      <c r="C1736" t="s">
        <v>9</v>
      </c>
    </row>
    <row r="1737" spans="1:3" x14ac:dyDescent="0.45">
      <c r="A1737" s="1">
        <v>43740</v>
      </c>
      <c r="B1737" t="s">
        <v>9</v>
      </c>
      <c r="C1737" t="s">
        <v>9</v>
      </c>
    </row>
    <row r="1738" spans="1:3" x14ac:dyDescent="0.45">
      <c r="A1738" s="1">
        <v>43741</v>
      </c>
      <c r="B1738" t="s">
        <v>9</v>
      </c>
      <c r="C1738" t="s">
        <v>9</v>
      </c>
    </row>
    <row r="1739" spans="1:3" x14ac:dyDescent="0.45">
      <c r="A1739" s="1">
        <v>43742</v>
      </c>
      <c r="B1739" t="s">
        <v>9</v>
      </c>
      <c r="C1739" t="s">
        <v>9</v>
      </c>
    </row>
    <row r="1740" spans="1:3" x14ac:dyDescent="0.45">
      <c r="A1740" s="1">
        <v>43743</v>
      </c>
      <c r="B1740" t="s">
        <v>9</v>
      </c>
      <c r="C1740" t="s">
        <v>9</v>
      </c>
    </row>
    <row r="1741" spans="1:3" x14ac:dyDescent="0.45">
      <c r="A1741" s="1">
        <v>43744</v>
      </c>
      <c r="B1741" t="s">
        <v>9</v>
      </c>
      <c r="C1741" t="s">
        <v>9</v>
      </c>
    </row>
    <row r="1742" spans="1:3" x14ac:dyDescent="0.45">
      <c r="A1742" s="1">
        <v>43745</v>
      </c>
      <c r="B1742" t="s">
        <v>9</v>
      </c>
      <c r="C1742" t="s">
        <v>9</v>
      </c>
    </row>
    <row r="1743" spans="1:3" x14ac:dyDescent="0.45">
      <c r="A1743" s="1">
        <v>43746</v>
      </c>
      <c r="B1743" t="s">
        <v>10</v>
      </c>
      <c r="C1743" t="s">
        <v>9</v>
      </c>
    </row>
    <row r="1744" spans="1:3" x14ac:dyDescent="0.45">
      <c r="A1744" s="1">
        <v>43747</v>
      </c>
      <c r="B1744" t="s">
        <v>10</v>
      </c>
      <c r="C1744" t="s">
        <v>9</v>
      </c>
    </row>
    <row r="1745" spans="1:3" x14ac:dyDescent="0.45">
      <c r="A1745" s="1">
        <v>43748</v>
      </c>
      <c r="B1745" t="s">
        <v>10</v>
      </c>
      <c r="C1745" t="s">
        <v>9</v>
      </c>
    </row>
    <row r="1746" spans="1:3" x14ac:dyDescent="0.45">
      <c r="A1746" s="1">
        <v>43749</v>
      </c>
      <c r="B1746" t="s">
        <v>10</v>
      </c>
      <c r="C1746" t="s">
        <v>9</v>
      </c>
    </row>
    <row r="1747" spans="1:3" x14ac:dyDescent="0.45">
      <c r="A1747" s="1">
        <v>43750</v>
      </c>
      <c r="B1747" t="s">
        <v>10</v>
      </c>
      <c r="C1747" t="s">
        <v>9</v>
      </c>
    </row>
    <row r="1748" spans="1:3" x14ac:dyDescent="0.45">
      <c r="A1748" s="1">
        <v>43751</v>
      </c>
      <c r="B1748" t="s">
        <v>10</v>
      </c>
      <c r="C1748" t="s">
        <v>9</v>
      </c>
    </row>
    <row r="1749" spans="1:3" x14ac:dyDescent="0.45">
      <c r="A1749" s="1">
        <v>43752</v>
      </c>
      <c r="B1749" t="s">
        <v>10</v>
      </c>
      <c r="C1749" t="s">
        <v>9</v>
      </c>
    </row>
    <row r="1750" spans="1:3" x14ac:dyDescent="0.45">
      <c r="A1750" s="1">
        <v>43753</v>
      </c>
      <c r="B1750" t="s">
        <v>10</v>
      </c>
      <c r="C1750" t="s">
        <v>9</v>
      </c>
    </row>
    <row r="1751" spans="1:3" x14ac:dyDescent="0.45">
      <c r="A1751" s="1">
        <v>43754</v>
      </c>
      <c r="B1751" t="s">
        <v>10</v>
      </c>
      <c r="C1751" t="s">
        <v>9</v>
      </c>
    </row>
    <row r="1752" spans="1:3" x14ac:dyDescent="0.45">
      <c r="A1752" s="1">
        <v>43755</v>
      </c>
      <c r="B1752" t="s">
        <v>10</v>
      </c>
      <c r="C1752" t="s">
        <v>9</v>
      </c>
    </row>
    <row r="1753" spans="1:3" x14ac:dyDescent="0.45">
      <c r="A1753" s="1">
        <v>43756</v>
      </c>
      <c r="B1753" t="s">
        <v>10</v>
      </c>
      <c r="C1753" t="s">
        <v>9</v>
      </c>
    </row>
    <row r="1754" spans="1:3" x14ac:dyDescent="0.45">
      <c r="A1754" s="1">
        <v>43757</v>
      </c>
      <c r="B1754" t="s">
        <v>10</v>
      </c>
      <c r="C1754" t="s">
        <v>9</v>
      </c>
    </row>
    <row r="1755" spans="1:3" x14ac:dyDescent="0.45">
      <c r="A1755" s="1">
        <v>43758</v>
      </c>
      <c r="B1755" t="s">
        <v>10</v>
      </c>
      <c r="C1755" t="s">
        <v>9</v>
      </c>
    </row>
    <row r="1756" spans="1:3" x14ac:dyDescent="0.45">
      <c r="A1756" s="1">
        <v>43759</v>
      </c>
      <c r="B1756" t="s">
        <v>10</v>
      </c>
      <c r="C1756" t="s">
        <v>9</v>
      </c>
    </row>
    <row r="1757" spans="1:3" x14ac:dyDescent="0.45">
      <c r="A1757" s="1">
        <v>43760</v>
      </c>
      <c r="B1757" t="s">
        <v>10</v>
      </c>
      <c r="C1757" t="s">
        <v>9</v>
      </c>
    </row>
    <row r="1758" spans="1:3" x14ac:dyDescent="0.45">
      <c r="A1758" s="1">
        <v>43761</v>
      </c>
      <c r="B1758" t="s">
        <v>10</v>
      </c>
      <c r="C1758" t="s">
        <v>9</v>
      </c>
    </row>
    <row r="1759" spans="1:3" x14ac:dyDescent="0.45">
      <c r="A1759" s="1">
        <v>43762</v>
      </c>
      <c r="B1759" t="s">
        <v>10</v>
      </c>
      <c r="C1759" t="s">
        <v>9</v>
      </c>
    </row>
    <row r="1760" spans="1:3" x14ac:dyDescent="0.45">
      <c r="A1760" s="1">
        <v>43763</v>
      </c>
      <c r="B1760" t="s">
        <v>10</v>
      </c>
      <c r="C1760" t="s">
        <v>9</v>
      </c>
    </row>
    <row r="1761" spans="1:3" x14ac:dyDescent="0.45">
      <c r="A1761" s="1">
        <v>43764</v>
      </c>
      <c r="B1761" t="s">
        <v>10</v>
      </c>
      <c r="C1761" t="s">
        <v>9</v>
      </c>
    </row>
    <row r="1762" spans="1:3" x14ac:dyDescent="0.45">
      <c r="A1762" s="1">
        <v>43765</v>
      </c>
      <c r="B1762" t="s">
        <v>10</v>
      </c>
      <c r="C1762" t="s">
        <v>9</v>
      </c>
    </row>
    <row r="1763" spans="1:3" x14ac:dyDescent="0.45">
      <c r="A1763" s="1">
        <v>43766</v>
      </c>
      <c r="B1763" t="s">
        <v>10</v>
      </c>
      <c r="C1763" t="s">
        <v>9</v>
      </c>
    </row>
    <row r="1764" spans="1:3" x14ac:dyDescent="0.45">
      <c r="A1764" s="1">
        <v>43767</v>
      </c>
      <c r="B1764" t="s">
        <v>10</v>
      </c>
      <c r="C1764" t="s">
        <v>9</v>
      </c>
    </row>
    <row r="1765" spans="1:3" x14ac:dyDescent="0.45">
      <c r="A1765" s="1">
        <v>43768</v>
      </c>
      <c r="B1765" t="s">
        <v>10</v>
      </c>
      <c r="C1765" t="s">
        <v>9</v>
      </c>
    </row>
    <row r="1766" spans="1:3" x14ac:dyDescent="0.45">
      <c r="A1766" s="1">
        <v>43769</v>
      </c>
      <c r="B1766" t="s">
        <v>10</v>
      </c>
      <c r="C1766" t="s">
        <v>9</v>
      </c>
    </row>
    <row r="1767" spans="1:3" x14ac:dyDescent="0.45">
      <c r="A1767" s="1">
        <v>43770</v>
      </c>
      <c r="B1767" t="s">
        <v>10</v>
      </c>
      <c r="C1767" t="s">
        <v>9</v>
      </c>
    </row>
    <row r="1768" spans="1:3" x14ac:dyDescent="0.45">
      <c r="A1768" s="1">
        <v>43771</v>
      </c>
      <c r="B1768" t="s">
        <v>10</v>
      </c>
      <c r="C1768" t="s">
        <v>9</v>
      </c>
    </row>
    <row r="1769" spans="1:3" x14ac:dyDescent="0.45">
      <c r="A1769" s="1">
        <v>43772</v>
      </c>
      <c r="B1769" t="s">
        <v>10</v>
      </c>
      <c r="C1769" t="s">
        <v>9</v>
      </c>
    </row>
    <row r="1770" spans="1:3" x14ac:dyDescent="0.45">
      <c r="A1770" s="1">
        <v>43773</v>
      </c>
      <c r="B1770" t="s">
        <v>10</v>
      </c>
      <c r="C1770" t="s">
        <v>9</v>
      </c>
    </row>
    <row r="1771" spans="1:3" x14ac:dyDescent="0.45">
      <c r="A1771" s="1">
        <v>43774</v>
      </c>
      <c r="B1771" t="s">
        <v>10</v>
      </c>
      <c r="C1771" t="s">
        <v>10</v>
      </c>
    </row>
    <row r="1772" spans="1:3" x14ac:dyDescent="0.45">
      <c r="A1772" s="1">
        <v>43775</v>
      </c>
      <c r="B1772" t="s">
        <v>10</v>
      </c>
      <c r="C1772" t="s">
        <v>9</v>
      </c>
    </row>
    <row r="1773" spans="1:3" x14ac:dyDescent="0.45">
      <c r="A1773" s="1">
        <v>43776</v>
      </c>
      <c r="B1773" t="s">
        <v>10</v>
      </c>
      <c r="C1773" t="s">
        <v>9</v>
      </c>
    </row>
    <row r="1774" spans="1:3" x14ac:dyDescent="0.45">
      <c r="A1774" s="1">
        <v>43777</v>
      </c>
      <c r="B1774" t="s">
        <v>10</v>
      </c>
      <c r="C1774" t="s">
        <v>9</v>
      </c>
    </row>
    <row r="1775" spans="1:3" x14ac:dyDescent="0.45">
      <c r="A1775" s="1">
        <v>43778</v>
      </c>
      <c r="B1775" t="s">
        <v>10</v>
      </c>
      <c r="C1775" t="s">
        <v>9</v>
      </c>
    </row>
    <row r="1776" spans="1:3" x14ac:dyDescent="0.45">
      <c r="A1776" s="1">
        <v>43779</v>
      </c>
      <c r="B1776" t="s">
        <v>10</v>
      </c>
      <c r="C1776" t="s">
        <v>9</v>
      </c>
    </row>
    <row r="1777" spans="1:3" x14ac:dyDescent="0.45">
      <c r="A1777" s="1">
        <v>43780</v>
      </c>
      <c r="B1777" t="s">
        <v>10</v>
      </c>
      <c r="C1777" t="s">
        <v>9</v>
      </c>
    </row>
    <row r="1778" spans="1:3" x14ac:dyDescent="0.45">
      <c r="A1778" s="1">
        <v>43781</v>
      </c>
      <c r="B1778" t="s">
        <v>10</v>
      </c>
      <c r="C1778" t="s">
        <v>9</v>
      </c>
    </row>
    <row r="1779" spans="1:3" x14ac:dyDescent="0.45">
      <c r="A1779" s="1">
        <v>43782</v>
      </c>
      <c r="B1779" t="s">
        <v>10</v>
      </c>
      <c r="C1779" t="s">
        <v>9</v>
      </c>
    </row>
    <row r="1780" spans="1:3" x14ac:dyDescent="0.45">
      <c r="A1780" s="1">
        <v>43783</v>
      </c>
      <c r="B1780" t="s">
        <v>10</v>
      </c>
      <c r="C1780" t="s">
        <v>9</v>
      </c>
    </row>
    <row r="1781" spans="1:3" x14ac:dyDescent="0.45">
      <c r="A1781" s="1">
        <v>43784</v>
      </c>
      <c r="B1781" t="s">
        <v>10</v>
      </c>
      <c r="C1781" t="s">
        <v>9</v>
      </c>
    </row>
    <row r="1782" spans="1:3" x14ac:dyDescent="0.45">
      <c r="A1782" s="1">
        <v>43785</v>
      </c>
      <c r="B1782" t="s">
        <v>10</v>
      </c>
      <c r="C1782" t="s">
        <v>9</v>
      </c>
    </row>
    <row r="1783" spans="1:3" x14ac:dyDescent="0.45">
      <c r="A1783" s="1">
        <v>43786</v>
      </c>
      <c r="B1783" t="s">
        <v>10</v>
      </c>
      <c r="C1783" t="s">
        <v>9</v>
      </c>
    </row>
    <row r="1784" spans="1:3" x14ac:dyDescent="0.45">
      <c r="A1784" s="1">
        <v>43787</v>
      </c>
      <c r="B1784" t="s">
        <v>10</v>
      </c>
      <c r="C1784" t="s">
        <v>9</v>
      </c>
    </row>
    <row r="1785" spans="1:3" x14ac:dyDescent="0.45">
      <c r="A1785" s="1">
        <v>43788</v>
      </c>
      <c r="B1785" t="s">
        <v>10</v>
      </c>
      <c r="C1785" t="s">
        <v>9</v>
      </c>
    </row>
    <row r="1786" spans="1:3" x14ac:dyDescent="0.45">
      <c r="A1786" s="1">
        <v>43789</v>
      </c>
      <c r="B1786" t="s">
        <v>10</v>
      </c>
      <c r="C1786" t="s">
        <v>9</v>
      </c>
    </row>
    <row r="1787" spans="1:3" x14ac:dyDescent="0.45">
      <c r="A1787" s="1">
        <v>43790</v>
      </c>
      <c r="B1787" t="s">
        <v>10</v>
      </c>
      <c r="C1787" t="s">
        <v>9</v>
      </c>
    </row>
    <row r="1788" spans="1:3" x14ac:dyDescent="0.45">
      <c r="A1788" s="1">
        <v>43791</v>
      </c>
      <c r="B1788" t="s">
        <v>10</v>
      </c>
      <c r="C1788" t="s">
        <v>9</v>
      </c>
    </row>
    <row r="1789" spans="1:3" x14ac:dyDescent="0.45">
      <c r="A1789" s="1">
        <v>43792</v>
      </c>
      <c r="B1789" t="s">
        <v>10</v>
      </c>
      <c r="C1789" t="s">
        <v>9</v>
      </c>
    </row>
    <row r="1790" spans="1:3" x14ac:dyDescent="0.45">
      <c r="A1790" s="1">
        <v>43793</v>
      </c>
      <c r="B1790" t="s">
        <v>10</v>
      </c>
      <c r="C1790" t="s">
        <v>9</v>
      </c>
    </row>
    <row r="1791" spans="1:3" x14ac:dyDescent="0.45">
      <c r="A1791" s="1">
        <v>43794</v>
      </c>
      <c r="B1791" t="s">
        <v>10</v>
      </c>
      <c r="C1791" t="s">
        <v>9</v>
      </c>
    </row>
    <row r="1792" spans="1:3" x14ac:dyDescent="0.45">
      <c r="A1792" s="1">
        <v>43795</v>
      </c>
      <c r="B1792" t="s">
        <v>10</v>
      </c>
      <c r="C1792" t="s">
        <v>9</v>
      </c>
    </row>
    <row r="1793" spans="1:3" x14ac:dyDescent="0.45">
      <c r="A1793" s="1">
        <v>43796</v>
      </c>
      <c r="B1793" t="s">
        <v>10</v>
      </c>
      <c r="C1793" t="s">
        <v>9</v>
      </c>
    </row>
    <row r="1794" spans="1:3" x14ac:dyDescent="0.45">
      <c r="A1794" s="1">
        <v>43797</v>
      </c>
      <c r="B1794" t="s">
        <v>10</v>
      </c>
      <c r="C1794" t="s">
        <v>9</v>
      </c>
    </row>
    <row r="1795" spans="1:3" x14ac:dyDescent="0.45">
      <c r="A1795" s="1">
        <v>43798</v>
      </c>
      <c r="B1795" t="s">
        <v>10</v>
      </c>
      <c r="C1795" t="s">
        <v>9</v>
      </c>
    </row>
    <row r="1796" spans="1:3" x14ac:dyDescent="0.45">
      <c r="A1796" s="1">
        <v>43799</v>
      </c>
      <c r="B1796" t="s">
        <v>10</v>
      </c>
      <c r="C1796" t="s">
        <v>9</v>
      </c>
    </row>
    <row r="1797" spans="1:3" x14ac:dyDescent="0.45">
      <c r="A1797" s="1">
        <v>43800</v>
      </c>
      <c r="B1797" t="s">
        <v>10</v>
      </c>
      <c r="C1797" t="s">
        <v>9</v>
      </c>
    </row>
    <row r="1798" spans="1:3" x14ac:dyDescent="0.45">
      <c r="A1798" s="1">
        <v>43801</v>
      </c>
      <c r="B1798" t="s">
        <v>10</v>
      </c>
      <c r="C1798" t="s">
        <v>9</v>
      </c>
    </row>
    <row r="1799" spans="1:3" x14ac:dyDescent="0.45">
      <c r="A1799" s="1">
        <v>43802</v>
      </c>
      <c r="B1799" t="s">
        <v>10</v>
      </c>
      <c r="C1799" t="s">
        <v>9</v>
      </c>
    </row>
    <row r="1800" spans="1:3" x14ac:dyDescent="0.45">
      <c r="A1800" s="1">
        <v>43803</v>
      </c>
      <c r="B1800" t="s">
        <v>10</v>
      </c>
      <c r="C1800" t="s">
        <v>9</v>
      </c>
    </row>
    <row r="1801" spans="1:3" x14ac:dyDescent="0.45">
      <c r="A1801" s="1">
        <v>43804</v>
      </c>
      <c r="B1801" t="s">
        <v>10</v>
      </c>
      <c r="C1801" t="s">
        <v>9</v>
      </c>
    </row>
    <row r="1802" spans="1:3" x14ac:dyDescent="0.45">
      <c r="A1802" s="1">
        <v>43805</v>
      </c>
      <c r="B1802" t="s">
        <v>10</v>
      </c>
      <c r="C1802" t="s">
        <v>9</v>
      </c>
    </row>
    <row r="1803" spans="1:3" x14ac:dyDescent="0.45">
      <c r="A1803" s="1">
        <v>43806</v>
      </c>
      <c r="B1803" t="s">
        <v>10</v>
      </c>
      <c r="C1803" t="s">
        <v>9</v>
      </c>
    </row>
    <row r="1804" spans="1:3" x14ac:dyDescent="0.45">
      <c r="A1804" s="1">
        <v>43807</v>
      </c>
      <c r="B1804" t="s">
        <v>10</v>
      </c>
      <c r="C1804" t="s">
        <v>9</v>
      </c>
    </row>
    <row r="1805" spans="1:3" x14ac:dyDescent="0.45">
      <c r="A1805" s="1">
        <v>43808</v>
      </c>
      <c r="B1805" t="s">
        <v>10</v>
      </c>
      <c r="C1805" t="s">
        <v>9</v>
      </c>
    </row>
    <row r="1806" spans="1:3" x14ac:dyDescent="0.45">
      <c r="A1806" s="1">
        <v>43809</v>
      </c>
      <c r="B1806" t="s">
        <v>10</v>
      </c>
      <c r="C1806" t="s">
        <v>9</v>
      </c>
    </row>
    <row r="1807" spans="1:3" x14ac:dyDescent="0.45">
      <c r="A1807" s="1">
        <v>43810</v>
      </c>
      <c r="B1807" t="s">
        <v>10</v>
      </c>
      <c r="C1807" t="s">
        <v>9</v>
      </c>
    </row>
    <row r="1808" spans="1:3" x14ac:dyDescent="0.45">
      <c r="A1808" s="1">
        <v>43811</v>
      </c>
      <c r="B1808" t="s">
        <v>10</v>
      </c>
      <c r="C1808" t="s">
        <v>9</v>
      </c>
    </row>
    <row r="1809" spans="1:3" x14ac:dyDescent="0.45">
      <c r="A1809" s="1">
        <v>43812</v>
      </c>
      <c r="B1809" t="s">
        <v>10</v>
      </c>
      <c r="C1809" t="s">
        <v>9</v>
      </c>
    </row>
    <row r="1810" spans="1:3" x14ac:dyDescent="0.45">
      <c r="A1810" s="1">
        <v>43813</v>
      </c>
      <c r="B1810" t="s">
        <v>10</v>
      </c>
      <c r="C1810" t="s">
        <v>9</v>
      </c>
    </row>
    <row r="1811" spans="1:3" x14ac:dyDescent="0.45">
      <c r="A1811" s="1">
        <v>43814</v>
      </c>
      <c r="B1811" t="s">
        <v>10</v>
      </c>
      <c r="C1811" t="s">
        <v>9</v>
      </c>
    </row>
    <row r="1812" spans="1:3" x14ac:dyDescent="0.45">
      <c r="A1812" s="1">
        <v>43815</v>
      </c>
      <c r="B1812" t="s">
        <v>10</v>
      </c>
      <c r="C1812" t="s">
        <v>9</v>
      </c>
    </row>
    <row r="1813" spans="1:3" x14ac:dyDescent="0.45">
      <c r="A1813" s="1">
        <v>43816</v>
      </c>
      <c r="B1813" t="s">
        <v>10</v>
      </c>
      <c r="C1813" t="s">
        <v>9</v>
      </c>
    </row>
    <row r="1814" spans="1:3" x14ac:dyDescent="0.45">
      <c r="A1814" s="1">
        <v>43817</v>
      </c>
      <c r="B1814" t="s">
        <v>10</v>
      </c>
      <c r="C1814" t="s">
        <v>9</v>
      </c>
    </row>
    <row r="1815" spans="1:3" x14ac:dyDescent="0.45">
      <c r="A1815" s="1">
        <v>43818</v>
      </c>
      <c r="B1815" t="s">
        <v>10</v>
      </c>
      <c r="C1815" t="s">
        <v>9</v>
      </c>
    </row>
    <row r="1816" spans="1:3" x14ac:dyDescent="0.45">
      <c r="A1816" s="1">
        <v>43819</v>
      </c>
      <c r="B1816" t="s">
        <v>9</v>
      </c>
      <c r="C1816" t="s">
        <v>9</v>
      </c>
    </row>
    <row r="1817" spans="1:3" x14ac:dyDescent="0.45">
      <c r="A1817" s="1">
        <v>43820</v>
      </c>
      <c r="B1817" t="s">
        <v>9</v>
      </c>
      <c r="C1817" t="s">
        <v>9</v>
      </c>
    </row>
    <row r="1818" spans="1:3" x14ac:dyDescent="0.45">
      <c r="A1818" s="1">
        <v>43821</v>
      </c>
      <c r="B1818" t="s">
        <v>9</v>
      </c>
      <c r="C1818" t="s">
        <v>9</v>
      </c>
    </row>
    <row r="1819" spans="1:3" x14ac:dyDescent="0.45">
      <c r="A1819" s="1">
        <v>43822</v>
      </c>
      <c r="B1819" t="s">
        <v>9</v>
      </c>
      <c r="C1819" t="s">
        <v>9</v>
      </c>
    </row>
    <row r="1820" spans="1:3" x14ac:dyDescent="0.45">
      <c r="A1820" s="1">
        <v>43823</v>
      </c>
      <c r="B1820" t="s">
        <v>9</v>
      </c>
      <c r="C1820" t="s">
        <v>9</v>
      </c>
    </row>
    <row r="1821" spans="1:3" x14ac:dyDescent="0.45">
      <c r="A1821" s="1">
        <v>43824</v>
      </c>
      <c r="B1821" t="s">
        <v>9</v>
      </c>
      <c r="C1821" t="s">
        <v>10</v>
      </c>
    </row>
    <row r="1822" spans="1:3" x14ac:dyDescent="0.45">
      <c r="A1822" s="1">
        <v>43825</v>
      </c>
      <c r="B1822" t="s">
        <v>9</v>
      </c>
      <c r="C1822" t="s">
        <v>10</v>
      </c>
    </row>
    <row r="1823" spans="1:3" x14ac:dyDescent="0.45">
      <c r="A1823" s="1">
        <v>43826</v>
      </c>
      <c r="B1823" t="s">
        <v>9</v>
      </c>
      <c r="C1823" t="s">
        <v>9</v>
      </c>
    </row>
    <row r="1824" spans="1:3" x14ac:dyDescent="0.45">
      <c r="A1824" s="1">
        <v>43827</v>
      </c>
      <c r="B1824" t="s">
        <v>9</v>
      </c>
      <c r="C1824" t="s">
        <v>9</v>
      </c>
    </row>
    <row r="1825" spans="1:3" x14ac:dyDescent="0.45">
      <c r="A1825" s="1">
        <v>43828</v>
      </c>
      <c r="B1825" t="s">
        <v>9</v>
      </c>
      <c r="C1825" t="s">
        <v>9</v>
      </c>
    </row>
    <row r="1826" spans="1:3" x14ac:dyDescent="0.45">
      <c r="A1826" s="1">
        <v>43829</v>
      </c>
      <c r="B1826" t="s">
        <v>9</v>
      </c>
      <c r="C1826" t="s">
        <v>9</v>
      </c>
    </row>
    <row r="1827" spans="1:3" x14ac:dyDescent="0.45">
      <c r="A1827" s="1">
        <v>43830</v>
      </c>
      <c r="B1827" t="s">
        <v>9</v>
      </c>
      <c r="C1827" t="s">
        <v>9</v>
      </c>
    </row>
    <row r="1828" spans="1:3" x14ac:dyDescent="0.45">
      <c r="A1828" s="1">
        <v>43831</v>
      </c>
      <c r="B1828" t="s">
        <v>9</v>
      </c>
      <c r="C1828" t="s">
        <v>10</v>
      </c>
    </row>
    <row r="1829" spans="1:3" x14ac:dyDescent="0.45">
      <c r="A1829" s="1">
        <v>43832</v>
      </c>
      <c r="B1829" t="s">
        <v>9</v>
      </c>
      <c r="C1829" t="s">
        <v>9</v>
      </c>
    </row>
    <row r="1830" spans="1:3" x14ac:dyDescent="0.45">
      <c r="A1830" s="1">
        <v>43833</v>
      </c>
      <c r="B1830" t="s">
        <v>9</v>
      </c>
      <c r="C1830" t="s">
        <v>9</v>
      </c>
    </row>
    <row r="1831" spans="1:3" x14ac:dyDescent="0.45">
      <c r="A1831" s="1">
        <v>43834</v>
      </c>
      <c r="B1831" t="s">
        <v>9</v>
      </c>
      <c r="C1831" t="s">
        <v>9</v>
      </c>
    </row>
    <row r="1832" spans="1:3" x14ac:dyDescent="0.45">
      <c r="A1832" s="1">
        <v>43835</v>
      </c>
      <c r="B1832" t="s">
        <v>9</v>
      </c>
      <c r="C1832" t="s">
        <v>9</v>
      </c>
    </row>
    <row r="1833" spans="1:3" x14ac:dyDescent="0.45">
      <c r="A1833" s="1">
        <v>43836</v>
      </c>
      <c r="B1833" t="s">
        <v>9</v>
      </c>
      <c r="C1833" t="s">
        <v>9</v>
      </c>
    </row>
    <row r="1834" spans="1:3" x14ac:dyDescent="0.45">
      <c r="A1834" s="1">
        <v>43837</v>
      </c>
      <c r="B1834" t="s">
        <v>9</v>
      </c>
      <c r="C1834" t="s">
        <v>9</v>
      </c>
    </row>
    <row r="1835" spans="1:3" x14ac:dyDescent="0.45">
      <c r="A1835" s="1">
        <v>43838</v>
      </c>
      <c r="B1835" t="s">
        <v>9</v>
      </c>
      <c r="C1835" t="s">
        <v>9</v>
      </c>
    </row>
    <row r="1836" spans="1:3" x14ac:dyDescent="0.45">
      <c r="A1836" s="1">
        <v>43839</v>
      </c>
      <c r="B1836" t="s">
        <v>9</v>
      </c>
      <c r="C1836" t="s">
        <v>9</v>
      </c>
    </row>
    <row r="1837" spans="1:3" x14ac:dyDescent="0.45">
      <c r="A1837" s="1">
        <v>43840</v>
      </c>
      <c r="B1837" t="s">
        <v>9</v>
      </c>
      <c r="C1837" t="s">
        <v>9</v>
      </c>
    </row>
    <row r="1838" spans="1:3" x14ac:dyDescent="0.45">
      <c r="A1838" s="1">
        <v>43841</v>
      </c>
      <c r="B1838" t="s">
        <v>9</v>
      </c>
      <c r="C1838" t="s">
        <v>9</v>
      </c>
    </row>
    <row r="1839" spans="1:3" x14ac:dyDescent="0.45">
      <c r="A1839" s="1">
        <v>43842</v>
      </c>
      <c r="B1839" t="s">
        <v>9</v>
      </c>
      <c r="C1839" t="s">
        <v>9</v>
      </c>
    </row>
    <row r="1840" spans="1:3" x14ac:dyDescent="0.45">
      <c r="A1840" s="1">
        <v>43843</v>
      </c>
      <c r="B1840" t="s">
        <v>9</v>
      </c>
      <c r="C1840" t="s">
        <v>9</v>
      </c>
    </row>
    <row r="1841" spans="1:3" x14ac:dyDescent="0.45">
      <c r="A1841" s="1">
        <v>43844</v>
      </c>
      <c r="B1841" t="s">
        <v>9</v>
      </c>
      <c r="C1841" t="s">
        <v>9</v>
      </c>
    </row>
    <row r="1842" spans="1:3" x14ac:dyDescent="0.45">
      <c r="A1842" s="1">
        <v>43845</v>
      </c>
      <c r="B1842" t="s">
        <v>9</v>
      </c>
      <c r="C1842" t="s">
        <v>9</v>
      </c>
    </row>
    <row r="1843" spans="1:3" x14ac:dyDescent="0.45">
      <c r="A1843" s="1">
        <v>43846</v>
      </c>
      <c r="B1843" t="s">
        <v>9</v>
      </c>
      <c r="C1843" t="s">
        <v>9</v>
      </c>
    </row>
    <row r="1844" spans="1:3" x14ac:dyDescent="0.45">
      <c r="A1844" s="1">
        <v>43847</v>
      </c>
      <c r="B1844" t="s">
        <v>9</v>
      </c>
      <c r="C1844" t="s">
        <v>9</v>
      </c>
    </row>
    <row r="1845" spans="1:3" x14ac:dyDescent="0.45">
      <c r="A1845" s="1">
        <v>43848</v>
      </c>
      <c r="B1845" t="s">
        <v>9</v>
      </c>
      <c r="C1845" t="s">
        <v>9</v>
      </c>
    </row>
    <row r="1846" spans="1:3" x14ac:dyDescent="0.45">
      <c r="A1846" s="1">
        <v>43849</v>
      </c>
      <c r="B1846" t="s">
        <v>9</v>
      </c>
      <c r="C1846" t="s">
        <v>9</v>
      </c>
    </row>
    <row r="1847" spans="1:3" x14ac:dyDescent="0.45">
      <c r="A1847" s="1">
        <v>43850</v>
      </c>
      <c r="B1847" t="s">
        <v>9</v>
      </c>
      <c r="C1847" t="s">
        <v>9</v>
      </c>
    </row>
    <row r="1848" spans="1:3" x14ac:dyDescent="0.45">
      <c r="A1848" s="1">
        <v>43851</v>
      </c>
      <c r="B1848" t="s">
        <v>9</v>
      </c>
      <c r="C1848" t="s">
        <v>9</v>
      </c>
    </row>
    <row r="1849" spans="1:3" x14ac:dyDescent="0.45">
      <c r="A1849" s="1">
        <v>43852</v>
      </c>
      <c r="B1849" t="s">
        <v>9</v>
      </c>
      <c r="C1849" t="s">
        <v>9</v>
      </c>
    </row>
    <row r="1850" spans="1:3" x14ac:dyDescent="0.45">
      <c r="A1850" s="1">
        <v>43853</v>
      </c>
      <c r="B1850" t="s">
        <v>9</v>
      </c>
      <c r="C1850" t="s">
        <v>9</v>
      </c>
    </row>
    <row r="1851" spans="1:3" x14ac:dyDescent="0.45">
      <c r="A1851" s="1">
        <v>43854</v>
      </c>
      <c r="B1851" t="s">
        <v>9</v>
      </c>
      <c r="C1851" t="s">
        <v>9</v>
      </c>
    </row>
    <row r="1852" spans="1:3" x14ac:dyDescent="0.45">
      <c r="A1852" s="1">
        <v>43855</v>
      </c>
      <c r="B1852" t="s">
        <v>9</v>
      </c>
      <c r="C1852" t="s">
        <v>9</v>
      </c>
    </row>
    <row r="1853" spans="1:3" x14ac:dyDescent="0.45">
      <c r="A1853" s="1">
        <v>43856</v>
      </c>
      <c r="B1853" t="s">
        <v>9</v>
      </c>
      <c r="C1853" t="s">
        <v>10</v>
      </c>
    </row>
    <row r="1854" spans="1:3" x14ac:dyDescent="0.45">
      <c r="A1854" s="1">
        <v>43857</v>
      </c>
      <c r="B1854" t="s">
        <v>9</v>
      </c>
      <c r="C1854" t="s">
        <v>10</v>
      </c>
    </row>
    <row r="1855" spans="1:3" x14ac:dyDescent="0.45">
      <c r="A1855" s="1">
        <v>43858</v>
      </c>
      <c r="B1855" t="s">
        <v>9</v>
      </c>
      <c r="C1855" t="s">
        <v>9</v>
      </c>
    </row>
    <row r="1856" spans="1:3" x14ac:dyDescent="0.45">
      <c r="A1856" s="1">
        <v>43859</v>
      </c>
      <c r="B1856" t="s">
        <v>9</v>
      </c>
      <c r="C1856" t="s">
        <v>9</v>
      </c>
    </row>
    <row r="1857" spans="1:3" x14ac:dyDescent="0.45">
      <c r="A1857" s="1">
        <v>43860</v>
      </c>
      <c r="B1857" t="s">
        <v>10</v>
      </c>
      <c r="C1857" t="s">
        <v>9</v>
      </c>
    </row>
    <row r="1858" spans="1:3" x14ac:dyDescent="0.45">
      <c r="A1858" s="1">
        <v>43861</v>
      </c>
      <c r="B1858" t="s">
        <v>10</v>
      </c>
      <c r="C1858" t="s">
        <v>9</v>
      </c>
    </row>
    <row r="1859" spans="1:3" x14ac:dyDescent="0.45">
      <c r="A1859" s="1">
        <v>43862</v>
      </c>
      <c r="B1859" t="s">
        <v>10</v>
      </c>
      <c r="C1859" t="s">
        <v>9</v>
      </c>
    </row>
    <row r="1860" spans="1:3" x14ac:dyDescent="0.45">
      <c r="A1860" s="1">
        <v>43863</v>
      </c>
      <c r="B1860" t="s">
        <v>10</v>
      </c>
      <c r="C1860" t="s">
        <v>9</v>
      </c>
    </row>
    <row r="1861" spans="1:3" x14ac:dyDescent="0.45">
      <c r="A1861" s="1">
        <v>43864</v>
      </c>
      <c r="B1861" t="s">
        <v>10</v>
      </c>
      <c r="C1861" t="s">
        <v>9</v>
      </c>
    </row>
    <row r="1862" spans="1:3" x14ac:dyDescent="0.45">
      <c r="A1862" s="1">
        <v>43865</v>
      </c>
      <c r="B1862" t="s">
        <v>10</v>
      </c>
      <c r="C1862" t="s">
        <v>9</v>
      </c>
    </row>
    <row r="1863" spans="1:3" x14ac:dyDescent="0.45">
      <c r="A1863" s="1">
        <v>43866</v>
      </c>
      <c r="B1863" t="s">
        <v>10</v>
      </c>
      <c r="C1863" t="s">
        <v>9</v>
      </c>
    </row>
    <row r="1864" spans="1:3" x14ac:dyDescent="0.45">
      <c r="A1864" s="1">
        <v>43867</v>
      </c>
      <c r="B1864" t="s">
        <v>10</v>
      </c>
      <c r="C1864" t="s">
        <v>9</v>
      </c>
    </row>
    <row r="1865" spans="1:3" x14ac:dyDescent="0.45">
      <c r="A1865" s="1">
        <v>43868</v>
      </c>
      <c r="B1865" t="s">
        <v>10</v>
      </c>
      <c r="C1865" t="s">
        <v>9</v>
      </c>
    </row>
    <row r="1866" spans="1:3" x14ac:dyDescent="0.45">
      <c r="A1866" s="1">
        <v>43869</v>
      </c>
      <c r="B1866" t="s">
        <v>10</v>
      </c>
      <c r="C1866" t="s">
        <v>9</v>
      </c>
    </row>
    <row r="1867" spans="1:3" x14ac:dyDescent="0.45">
      <c r="A1867" s="1">
        <v>43870</v>
      </c>
      <c r="B1867" t="s">
        <v>10</v>
      </c>
      <c r="C1867" t="s">
        <v>9</v>
      </c>
    </row>
    <row r="1868" spans="1:3" x14ac:dyDescent="0.45">
      <c r="A1868" s="1">
        <v>43871</v>
      </c>
      <c r="B1868" t="s">
        <v>10</v>
      </c>
      <c r="C1868" t="s">
        <v>9</v>
      </c>
    </row>
    <row r="1869" spans="1:3" x14ac:dyDescent="0.45">
      <c r="A1869" s="1">
        <v>43872</v>
      </c>
      <c r="B1869" t="s">
        <v>10</v>
      </c>
      <c r="C1869" t="s">
        <v>9</v>
      </c>
    </row>
    <row r="1870" spans="1:3" x14ac:dyDescent="0.45">
      <c r="A1870" s="1">
        <v>43873</v>
      </c>
      <c r="B1870" t="s">
        <v>10</v>
      </c>
      <c r="C1870" t="s">
        <v>9</v>
      </c>
    </row>
    <row r="1871" spans="1:3" x14ac:dyDescent="0.45">
      <c r="A1871" s="1">
        <v>43874</v>
      </c>
      <c r="B1871" t="s">
        <v>10</v>
      </c>
      <c r="C1871" t="s">
        <v>9</v>
      </c>
    </row>
    <row r="1872" spans="1:3" x14ac:dyDescent="0.45">
      <c r="A1872" s="1">
        <v>43875</v>
      </c>
      <c r="B1872" t="s">
        <v>10</v>
      </c>
      <c r="C1872" t="s">
        <v>9</v>
      </c>
    </row>
    <row r="1873" spans="1:3" x14ac:dyDescent="0.45">
      <c r="A1873" s="1">
        <v>43876</v>
      </c>
      <c r="B1873" t="s">
        <v>10</v>
      </c>
      <c r="C1873" t="s">
        <v>9</v>
      </c>
    </row>
    <row r="1874" spans="1:3" x14ac:dyDescent="0.45">
      <c r="A1874" s="1">
        <v>43877</v>
      </c>
      <c r="B1874" t="s">
        <v>10</v>
      </c>
      <c r="C1874" t="s">
        <v>9</v>
      </c>
    </row>
    <row r="1875" spans="1:3" x14ac:dyDescent="0.45">
      <c r="A1875" s="1">
        <v>43878</v>
      </c>
      <c r="B1875" t="s">
        <v>10</v>
      </c>
      <c r="C1875" t="s">
        <v>9</v>
      </c>
    </row>
    <row r="1876" spans="1:3" x14ac:dyDescent="0.45">
      <c r="A1876" s="1">
        <v>43879</v>
      </c>
      <c r="B1876" t="s">
        <v>10</v>
      </c>
      <c r="C1876" t="s">
        <v>9</v>
      </c>
    </row>
    <row r="1877" spans="1:3" x14ac:dyDescent="0.45">
      <c r="A1877" s="1">
        <v>43880</v>
      </c>
      <c r="B1877" t="s">
        <v>10</v>
      </c>
      <c r="C1877" t="s">
        <v>9</v>
      </c>
    </row>
    <row r="1878" spans="1:3" x14ac:dyDescent="0.45">
      <c r="A1878" s="1">
        <v>43881</v>
      </c>
      <c r="B1878" t="s">
        <v>10</v>
      </c>
      <c r="C1878" t="s">
        <v>9</v>
      </c>
    </row>
    <row r="1879" spans="1:3" x14ac:dyDescent="0.45">
      <c r="A1879" s="1">
        <v>43882</v>
      </c>
      <c r="B1879" t="s">
        <v>10</v>
      </c>
      <c r="C1879" t="s">
        <v>9</v>
      </c>
    </row>
    <row r="1880" spans="1:3" x14ac:dyDescent="0.45">
      <c r="A1880" s="1">
        <v>43883</v>
      </c>
      <c r="B1880" t="s">
        <v>10</v>
      </c>
      <c r="C1880" t="s">
        <v>9</v>
      </c>
    </row>
    <row r="1881" spans="1:3" x14ac:dyDescent="0.45">
      <c r="A1881" s="1">
        <v>43884</v>
      </c>
      <c r="B1881" t="s">
        <v>10</v>
      </c>
      <c r="C1881" t="s">
        <v>9</v>
      </c>
    </row>
    <row r="1882" spans="1:3" x14ac:dyDescent="0.45">
      <c r="A1882" s="1">
        <v>43885</v>
      </c>
      <c r="B1882" t="s">
        <v>10</v>
      </c>
      <c r="C1882" t="s">
        <v>9</v>
      </c>
    </row>
    <row r="1883" spans="1:3" x14ac:dyDescent="0.45">
      <c r="A1883" s="1">
        <v>43886</v>
      </c>
      <c r="B1883" t="s">
        <v>10</v>
      </c>
      <c r="C1883" t="s">
        <v>9</v>
      </c>
    </row>
    <row r="1884" spans="1:3" x14ac:dyDescent="0.45">
      <c r="A1884" s="1">
        <v>43887</v>
      </c>
      <c r="B1884" t="s">
        <v>10</v>
      </c>
      <c r="C1884" t="s">
        <v>9</v>
      </c>
    </row>
    <row r="1885" spans="1:3" x14ac:dyDescent="0.45">
      <c r="A1885" s="1">
        <v>43888</v>
      </c>
      <c r="B1885" t="s">
        <v>10</v>
      </c>
      <c r="C1885" t="s">
        <v>9</v>
      </c>
    </row>
    <row r="1886" spans="1:3" x14ac:dyDescent="0.45">
      <c r="A1886" s="1">
        <v>43889</v>
      </c>
      <c r="B1886" t="s">
        <v>10</v>
      </c>
      <c r="C1886" t="s">
        <v>9</v>
      </c>
    </row>
    <row r="1887" spans="1:3" x14ac:dyDescent="0.45">
      <c r="A1887" s="1">
        <v>43890</v>
      </c>
      <c r="B1887" t="s">
        <v>10</v>
      </c>
      <c r="C1887" t="s">
        <v>9</v>
      </c>
    </row>
    <row r="1888" spans="1:3" x14ac:dyDescent="0.45">
      <c r="A1888" s="1">
        <v>43891</v>
      </c>
      <c r="B1888" t="s">
        <v>10</v>
      </c>
      <c r="C1888" t="s">
        <v>9</v>
      </c>
    </row>
    <row r="1889" spans="1:3" x14ac:dyDescent="0.45">
      <c r="A1889" s="1">
        <v>43892</v>
      </c>
      <c r="B1889" t="s">
        <v>10</v>
      </c>
      <c r="C1889" t="s">
        <v>9</v>
      </c>
    </row>
    <row r="1890" spans="1:3" x14ac:dyDescent="0.45">
      <c r="A1890" s="1">
        <v>43893</v>
      </c>
      <c r="B1890" t="s">
        <v>10</v>
      </c>
      <c r="C1890" t="s">
        <v>9</v>
      </c>
    </row>
    <row r="1891" spans="1:3" x14ac:dyDescent="0.45">
      <c r="A1891" s="1">
        <v>43894</v>
      </c>
      <c r="B1891" t="s">
        <v>10</v>
      </c>
      <c r="C1891" t="s">
        <v>9</v>
      </c>
    </row>
    <row r="1892" spans="1:3" x14ac:dyDescent="0.45">
      <c r="A1892" s="1">
        <v>43895</v>
      </c>
      <c r="B1892" t="s">
        <v>10</v>
      </c>
      <c r="C1892" t="s">
        <v>9</v>
      </c>
    </row>
    <row r="1893" spans="1:3" x14ac:dyDescent="0.45">
      <c r="A1893" s="1">
        <v>43896</v>
      </c>
      <c r="B1893" t="s">
        <v>10</v>
      </c>
      <c r="C1893" t="s">
        <v>9</v>
      </c>
    </row>
    <row r="1894" spans="1:3" x14ac:dyDescent="0.45">
      <c r="A1894" s="1">
        <v>43897</v>
      </c>
      <c r="B1894" t="s">
        <v>10</v>
      </c>
      <c r="C1894" t="s">
        <v>9</v>
      </c>
    </row>
    <row r="1895" spans="1:3" x14ac:dyDescent="0.45">
      <c r="A1895" s="1">
        <v>43898</v>
      </c>
      <c r="B1895" t="s">
        <v>10</v>
      </c>
      <c r="C1895" t="s">
        <v>9</v>
      </c>
    </row>
    <row r="1896" spans="1:3" x14ac:dyDescent="0.45">
      <c r="A1896" s="1">
        <v>43899</v>
      </c>
      <c r="B1896" t="s">
        <v>10</v>
      </c>
      <c r="C1896" t="s">
        <v>10</v>
      </c>
    </row>
    <row r="1897" spans="1:3" x14ac:dyDescent="0.45">
      <c r="A1897" s="1">
        <v>43900</v>
      </c>
      <c r="B1897" t="s">
        <v>10</v>
      </c>
      <c r="C1897" t="s">
        <v>9</v>
      </c>
    </row>
    <row r="1898" spans="1:3" x14ac:dyDescent="0.45">
      <c r="A1898" s="1">
        <v>43901</v>
      </c>
      <c r="B1898" t="s">
        <v>10</v>
      </c>
      <c r="C1898" t="s">
        <v>9</v>
      </c>
    </row>
    <row r="1899" spans="1:3" x14ac:dyDescent="0.45">
      <c r="A1899" s="1">
        <v>43902</v>
      </c>
      <c r="B1899" t="s">
        <v>10</v>
      </c>
      <c r="C1899" t="s">
        <v>9</v>
      </c>
    </row>
    <row r="1900" spans="1:3" x14ac:dyDescent="0.45">
      <c r="A1900" s="1">
        <v>43903</v>
      </c>
      <c r="B1900" t="s">
        <v>10</v>
      </c>
      <c r="C1900" t="s">
        <v>9</v>
      </c>
    </row>
    <row r="1901" spans="1:3" x14ac:dyDescent="0.45">
      <c r="A1901" s="1">
        <v>43904</v>
      </c>
      <c r="B1901" t="s">
        <v>10</v>
      </c>
      <c r="C1901" t="s">
        <v>9</v>
      </c>
    </row>
    <row r="1902" spans="1:3" x14ac:dyDescent="0.45">
      <c r="A1902" s="1">
        <v>43905</v>
      </c>
      <c r="B1902" t="s">
        <v>10</v>
      </c>
      <c r="C1902" t="s">
        <v>9</v>
      </c>
    </row>
    <row r="1903" spans="1:3" x14ac:dyDescent="0.45">
      <c r="A1903" s="1">
        <v>43906</v>
      </c>
      <c r="B1903" t="s">
        <v>10</v>
      </c>
      <c r="C1903" t="s">
        <v>9</v>
      </c>
    </row>
    <row r="1904" spans="1:3" x14ac:dyDescent="0.45">
      <c r="A1904" s="1">
        <v>43907</v>
      </c>
      <c r="B1904" t="s">
        <v>10</v>
      </c>
      <c r="C1904" t="s">
        <v>9</v>
      </c>
    </row>
    <row r="1905" spans="1:3" x14ac:dyDescent="0.45">
      <c r="A1905" s="1">
        <v>43908</v>
      </c>
      <c r="B1905" t="s">
        <v>10</v>
      </c>
      <c r="C1905" t="s">
        <v>9</v>
      </c>
    </row>
    <row r="1906" spans="1:3" x14ac:dyDescent="0.45">
      <c r="A1906" s="1">
        <v>43909</v>
      </c>
      <c r="B1906" t="s">
        <v>10</v>
      </c>
      <c r="C1906" t="s">
        <v>9</v>
      </c>
    </row>
    <row r="1907" spans="1:3" x14ac:dyDescent="0.45">
      <c r="A1907" s="1">
        <v>43910</v>
      </c>
      <c r="B1907" t="s">
        <v>10</v>
      </c>
      <c r="C1907" t="s">
        <v>9</v>
      </c>
    </row>
    <row r="1908" spans="1:3" x14ac:dyDescent="0.45">
      <c r="A1908" s="1">
        <v>43911</v>
      </c>
      <c r="B1908" t="s">
        <v>10</v>
      </c>
      <c r="C1908" t="s">
        <v>9</v>
      </c>
    </row>
    <row r="1909" spans="1:3" x14ac:dyDescent="0.45">
      <c r="A1909" s="1">
        <v>43912</v>
      </c>
      <c r="B1909" t="s">
        <v>10</v>
      </c>
      <c r="C1909" t="s">
        <v>9</v>
      </c>
    </row>
    <row r="1910" spans="1:3" x14ac:dyDescent="0.45">
      <c r="A1910" s="1">
        <v>43913</v>
      </c>
      <c r="B1910" t="s">
        <v>10</v>
      </c>
      <c r="C1910" t="s">
        <v>9</v>
      </c>
    </row>
    <row r="1911" spans="1:3" x14ac:dyDescent="0.45">
      <c r="A1911" s="1">
        <v>43914</v>
      </c>
      <c r="B1911" t="s">
        <v>9</v>
      </c>
      <c r="C1911" t="s">
        <v>9</v>
      </c>
    </row>
    <row r="1912" spans="1:3" x14ac:dyDescent="0.45">
      <c r="A1912" s="1">
        <v>43915</v>
      </c>
      <c r="B1912" t="s">
        <v>9</v>
      </c>
      <c r="C1912" t="s">
        <v>9</v>
      </c>
    </row>
    <row r="1913" spans="1:3" x14ac:dyDescent="0.45">
      <c r="A1913" s="1">
        <v>43916</v>
      </c>
      <c r="B1913" t="s">
        <v>9</v>
      </c>
      <c r="C1913" t="s">
        <v>9</v>
      </c>
    </row>
    <row r="1914" spans="1:3" x14ac:dyDescent="0.45">
      <c r="A1914" s="1">
        <v>43917</v>
      </c>
      <c r="B1914" t="s">
        <v>9</v>
      </c>
      <c r="C1914" t="s">
        <v>9</v>
      </c>
    </row>
    <row r="1915" spans="1:3" x14ac:dyDescent="0.45">
      <c r="A1915" s="1">
        <v>43918</v>
      </c>
      <c r="B1915" t="s">
        <v>9</v>
      </c>
      <c r="C1915" t="s">
        <v>9</v>
      </c>
    </row>
    <row r="1916" spans="1:3" x14ac:dyDescent="0.45">
      <c r="A1916" s="1">
        <v>43919</v>
      </c>
      <c r="B1916" t="s">
        <v>9</v>
      </c>
      <c r="C1916" t="s">
        <v>9</v>
      </c>
    </row>
    <row r="1917" spans="1:3" x14ac:dyDescent="0.45">
      <c r="A1917" s="1">
        <v>43920</v>
      </c>
      <c r="B1917" t="s">
        <v>9</v>
      </c>
      <c r="C1917" t="s">
        <v>9</v>
      </c>
    </row>
    <row r="1918" spans="1:3" x14ac:dyDescent="0.45">
      <c r="A1918" s="1">
        <v>43921</v>
      </c>
      <c r="B1918" t="s">
        <v>9</v>
      </c>
      <c r="C1918" t="s">
        <v>9</v>
      </c>
    </row>
    <row r="1919" spans="1:3" x14ac:dyDescent="0.45">
      <c r="A1919" s="1">
        <v>43922</v>
      </c>
      <c r="B1919" t="s">
        <v>9</v>
      </c>
      <c r="C1919" t="s">
        <v>9</v>
      </c>
    </row>
    <row r="1920" spans="1:3" x14ac:dyDescent="0.45">
      <c r="A1920" s="1">
        <v>43923</v>
      </c>
      <c r="B1920" t="s">
        <v>9</v>
      </c>
      <c r="C1920" t="s">
        <v>9</v>
      </c>
    </row>
    <row r="1921" spans="1:3" x14ac:dyDescent="0.45">
      <c r="A1921" s="1">
        <v>43924</v>
      </c>
      <c r="B1921" t="s">
        <v>9</v>
      </c>
      <c r="C1921" t="s">
        <v>9</v>
      </c>
    </row>
    <row r="1922" spans="1:3" x14ac:dyDescent="0.45">
      <c r="A1922" s="1">
        <v>43925</v>
      </c>
      <c r="B1922" t="s">
        <v>9</v>
      </c>
      <c r="C1922" t="s">
        <v>9</v>
      </c>
    </row>
    <row r="1923" spans="1:3" x14ac:dyDescent="0.45">
      <c r="A1923" s="1">
        <v>43926</v>
      </c>
      <c r="B1923" t="s">
        <v>9</v>
      </c>
      <c r="C1923" t="s">
        <v>9</v>
      </c>
    </row>
    <row r="1924" spans="1:3" x14ac:dyDescent="0.45">
      <c r="A1924" s="1">
        <v>43927</v>
      </c>
      <c r="B1924" t="s">
        <v>9</v>
      </c>
      <c r="C1924" t="s">
        <v>9</v>
      </c>
    </row>
    <row r="1925" spans="1:3" x14ac:dyDescent="0.45">
      <c r="A1925" s="1">
        <v>43928</v>
      </c>
      <c r="B1925" t="s">
        <v>9</v>
      </c>
      <c r="C1925" t="s">
        <v>9</v>
      </c>
    </row>
    <row r="1926" spans="1:3" x14ac:dyDescent="0.45">
      <c r="A1926" s="1">
        <v>43929</v>
      </c>
      <c r="B1926" t="s">
        <v>9</v>
      </c>
      <c r="C1926" t="s">
        <v>9</v>
      </c>
    </row>
    <row r="1927" spans="1:3" x14ac:dyDescent="0.45">
      <c r="A1927" s="1">
        <v>43930</v>
      </c>
      <c r="B1927" t="s">
        <v>9</v>
      </c>
      <c r="C1927" t="s">
        <v>9</v>
      </c>
    </row>
    <row r="1928" spans="1:3" x14ac:dyDescent="0.45">
      <c r="A1928" s="1">
        <v>43931</v>
      </c>
      <c r="B1928" t="s">
        <v>9</v>
      </c>
      <c r="C1928" t="s">
        <v>10</v>
      </c>
    </row>
    <row r="1929" spans="1:3" x14ac:dyDescent="0.45">
      <c r="A1929" s="1">
        <v>43932</v>
      </c>
      <c r="B1929" t="s">
        <v>9</v>
      </c>
      <c r="C1929" t="s">
        <v>10</v>
      </c>
    </row>
    <row r="1930" spans="1:3" x14ac:dyDescent="0.45">
      <c r="A1930" s="1">
        <v>43933</v>
      </c>
      <c r="B1930" t="s">
        <v>9</v>
      </c>
      <c r="C1930" t="s">
        <v>10</v>
      </c>
    </row>
    <row r="1931" spans="1:3" x14ac:dyDescent="0.45">
      <c r="A1931" s="1">
        <v>43934</v>
      </c>
      <c r="B1931" t="s">
        <v>9</v>
      </c>
      <c r="C1931" t="s">
        <v>10</v>
      </c>
    </row>
    <row r="1932" spans="1:3" x14ac:dyDescent="0.45">
      <c r="A1932" s="1">
        <v>43935</v>
      </c>
      <c r="B1932" t="s">
        <v>9</v>
      </c>
      <c r="C1932" t="s">
        <v>9</v>
      </c>
    </row>
    <row r="1933" spans="1:3" x14ac:dyDescent="0.45">
      <c r="A1933" s="1">
        <v>43936</v>
      </c>
      <c r="B1933" t="s">
        <v>9</v>
      </c>
      <c r="C1933" t="s">
        <v>9</v>
      </c>
    </row>
    <row r="1934" spans="1:3" x14ac:dyDescent="0.45">
      <c r="A1934" s="1">
        <v>43937</v>
      </c>
      <c r="B1934" t="s">
        <v>9</v>
      </c>
      <c r="C1934" t="s">
        <v>9</v>
      </c>
    </row>
    <row r="1935" spans="1:3" x14ac:dyDescent="0.45">
      <c r="A1935" s="1">
        <v>43938</v>
      </c>
      <c r="B1935" t="s">
        <v>9</v>
      </c>
      <c r="C1935" t="s">
        <v>9</v>
      </c>
    </row>
    <row r="1936" spans="1:3" x14ac:dyDescent="0.45">
      <c r="A1936" s="1">
        <v>43939</v>
      </c>
      <c r="B1936" t="s">
        <v>9</v>
      </c>
      <c r="C1936" t="s">
        <v>9</v>
      </c>
    </row>
    <row r="1937" spans="1:3" x14ac:dyDescent="0.45">
      <c r="A1937" s="1">
        <v>43940</v>
      </c>
      <c r="B1937" t="s">
        <v>9</v>
      </c>
      <c r="C1937" t="s">
        <v>9</v>
      </c>
    </row>
    <row r="1938" spans="1:3" x14ac:dyDescent="0.45">
      <c r="A1938" s="1">
        <v>43941</v>
      </c>
      <c r="B1938" t="s">
        <v>9</v>
      </c>
      <c r="C1938" t="s">
        <v>9</v>
      </c>
    </row>
    <row r="1939" spans="1:3" x14ac:dyDescent="0.45">
      <c r="A1939" s="1">
        <v>43942</v>
      </c>
      <c r="B1939" t="s">
        <v>9</v>
      </c>
      <c r="C1939" t="s">
        <v>9</v>
      </c>
    </row>
    <row r="1940" spans="1:3" x14ac:dyDescent="0.45">
      <c r="A1940" s="1">
        <v>43943</v>
      </c>
      <c r="B1940" t="s">
        <v>9</v>
      </c>
      <c r="C1940" t="s">
        <v>9</v>
      </c>
    </row>
    <row r="1941" spans="1:3" x14ac:dyDescent="0.45">
      <c r="A1941" s="1">
        <v>43944</v>
      </c>
      <c r="B1941" t="s">
        <v>9</v>
      </c>
      <c r="C1941" t="s">
        <v>9</v>
      </c>
    </row>
    <row r="1942" spans="1:3" x14ac:dyDescent="0.45">
      <c r="A1942" s="1">
        <v>43945</v>
      </c>
      <c r="B1942" t="s">
        <v>9</v>
      </c>
      <c r="C1942" t="s">
        <v>9</v>
      </c>
    </row>
    <row r="1943" spans="1:3" x14ac:dyDescent="0.45">
      <c r="A1943" s="1">
        <v>43946</v>
      </c>
      <c r="B1943" t="s">
        <v>9</v>
      </c>
      <c r="C1943" t="s">
        <v>10</v>
      </c>
    </row>
    <row r="1944" spans="1:3" x14ac:dyDescent="0.45">
      <c r="A1944" s="1">
        <v>43947</v>
      </c>
      <c r="B1944" t="s">
        <v>9</v>
      </c>
      <c r="C1944" t="s">
        <v>9</v>
      </c>
    </row>
    <row r="1945" spans="1:3" x14ac:dyDescent="0.45">
      <c r="A1945" s="1">
        <v>43948</v>
      </c>
      <c r="B1945" t="s">
        <v>9</v>
      </c>
      <c r="C1945" t="s">
        <v>9</v>
      </c>
    </row>
    <row r="1946" spans="1:3" x14ac:dyDescent="0.45">
      <c r="A1946" s="1">
        <v>43949</v>
      </c>
      <c r="B1946" t="s">
        <v>9</v>
      </c>
      <c r="C1946" t="s">
        <v>9</v>
      </c>
    </row>
    <row r="1947" spans="1:3" x14ac:dyDescent="0.45">
      <c r="A1947" s="1">
        <v>43950</v>
      </c>
      <c r="B1947" t="s">
        <v>9</v>
      </c>
      <c r="C1947" t="s">
        <v>9</v>
      </c>
    </row>
    <row r="1948" spans="1:3" x14ac:dyDescent="0.45">
      <c r="A1948" s="1">
        <v>43951</v>
      </c>
      <c r="B1948" t="s">
        <v>9</v>
      </c>
      <c r="C1948" t="s">
        <v>9</v>
      </c>
    </row>
    <row r="1949" spans="1:3" x14ac:dyDescent="0.45">
      <c r="A1949" s="1">
        <v>43952</v>
      </c>
      <c r="B1949" t="s">
        <v>9</v>
      </c>
      <c r="C1949" t="s">
        <v>9</v>
      </c>
    </row>
    <row r="1950" spans="1:3" x14ac:dyDescent="0.45">
      <c r="A1950" s="1">
        <v>43953</v>
      </c>
      <c r="B1950" t="s">
        <v>9</v>
      </c>
      <c r="C1950" t="s">
        <v>9</v>
      </c>
    </row>
    <row r="1951" spans="1:3" x14ac:dyDescent="0.45">
      <c r="A1951" s="1">
        <v>43954</v>
      </c>
      <c r="B1951" t="s">
        <v>9</v>
      </c>
      <c r="C1951" t="s">
        <v>9</v>
      </c>
    </row>
    <row r="1952" spans="1:3" x14ac:dyDescent="0.45">
      <c r="A1952" s="1">
        <v>43955</v>
      </c>
      <c r="B1952" t="s">
        <v>9</v>
      </c>
      <c r="C1952" t="s">
        <v>9</v>
      </c>
    </row>
    <row r="1953" spans="1:3" x14ac:dyDescent="0.45">
      <c r="A1953" s="1">
        <v>43956</v>
      </c>
      <c r="B1953" t="s">
        <v>9</v>
      </c>
      <c r="C1953" t="s">
        <v>9</v>
      </c>
    </row>
    <row r="1954" spans="1:3" x14ac:dyDescent="0.45">
      <c r="A1954" s="1">
        <v>43957</v>
      </c>
      <c r="B1954" t="s">
        <v>9</v>
      </c>
      <c r="C1954" t="s">
        <v>9</v>
      </c>
    </row>
    <row r="1955" spans="1:3" x14ac:dyDescent="0.45">
      <c r="A1955" s="1">
        <v>43958</v>
      </c>
      <c r="B1955" t="s">
        <v>9</v>
      </c>
      <c r="C1955" t="s">
        <v>9</v>
      </c>
    </row>
    <row r="1956" spans="1:3" x14ac:dyDescent="0.45">
      <c r="A1956" s="1">
        <v>43959</v>
      </c>
      <c r="B1956" t="s">
        <v>9</v>
      </c>
      <c r="C1956" t="s">
        <v>9</v>
      </c>
    </row>
    <row r="1957" spans="1:3" x14ac:dyDescent="0.45">
      <c r="A1957" s="1">
        <v>43960</v>
      </c>
      <c r="B1957" t="s">
        <v>9</v>
      </c>
      <c r="C1957" t="s">
        <v>9</v>
      </c>
    </row>
    <row r="1958" spans="1:3" x14ac:dyDescent="0.45">
      <c r="A1958" s="1">
        <v>43961</v>
      </c>
      <c r="B1958" t="s">
        <v>9</v>
      </c>
      <c r="C1958" t="s">
        <v>9</v>
      </c>
    </row>
    <row r="1959" spans="1:3" x14ac:dyDescent="0.45">
      <c r="A1959" s="1">
        <v>43962</v>
      </c>
      <c r="B1959" t="s">
        <v>9</v>
      </c>
      <c r="C1959" t="s">
        <v>9</v>
      </c>
    </row>
    <row r="1960" spans="1:3" x14ac:dyDescent="0.45">
      <c r="A1960" s="1">
        <v>43963</v>
      </c>
      <c r="B1960" t="s">
        <v>9</v>
      </c>
      <c r="C1960" t="s">
        <v>9</v>
      </c>
    </row>
    <row r="1961" spans="1:3" x14ac:dyDescent="0.45">
      <c r="A1961" s="1">
        <v>43964</v>
      </c>
      <c r="B1961" t="s">
        <v>9</v>
      </c>
      <c r="C1961" t="s">
        <v>9</v>
      </c>
    </row>
    <row r="1962" spans="1:3" x14ac:dyDescent="0.45">
      <c r="A1962" s="1">
        <v>43965</v>
      </c>
      <c r="B1962" t="s">
        <v>9</v>
      </c>
      <c r="C1962" t="s">
        <v>9</v>
      </c>
    </row>
    <row r="1963" spans="1:3" x14ac:dyDescent="0.45">
      <c r="A1963" s="1">
        <v>43966</v>
      </c>
      <c r="B1963" t="s">
        <v>9</v>
      </c>
      <c r="C1963" t="s">
        <v>9</v>
      </c>
    </row>
    <row r="1964" spans="1:3" x14ac:dyDescent="0.45">
      <c r="A1964" s="1">
        <v>43967</v>
      </c>
      <c r="B1964" t="s">
        <v>9</v>
      </c>
      <c r="C1964" t="s">
        <v>9</v>
      </c>
    </row>
    <row r="1965" spans="1:3" x14ac:dyDescent="0.45">
      <c r="A1965" s="1">
        <v>43968</v>
      </c>
      <c r="B1965" t="s">
        <v>9</v>
      </c>
      <c r="C1965" t="s">
        <v>9</v>
      </c>
    </row>
    <row r="1966" spans="1:3" x14ac:dyDescent="0.45">
      <c r="A1966" s="1">
        <v>43969</v>
      </c>
      <c r="B1966" t="s">
        <v>9</v>
      </c>
      <c r="C1966" t="s">
        <v>9</v>
      </c>
    </row>
    <row r="1967" spans="1:3" x14ac:dyDescent="0.45">
      <c r="A1967" s="1">
        <v>43970</v>
      </c>
      <c r="B1967" t="s">
        <v>9</v>
      </c>
      <c r="C1967" t="s">
        <v>9</v>
      </c>
    </row>
    <row r="1968" spans="1:3" x14ac:dyDescent="0.45">
      <c r="A1968" s="1">
        <v>43971</v>
      </c>
      <c r="B1968" t="s">
        <v>9</v>
      </c>
      <c r="C1968" t="s">
        <v>9</v>
      </c>
    </row>
    <row r="1969" spans="1:3" x14ac:dyDescent="0.45">
      <c r="A1969" s="1">
        <v>43972</v>
      </c>
      <c r="B1969" t="s">
        <v>9</v>
      </c>
      <c r="C1969" t="s">
        <v>9</v>
      </c>
    </row>
    <row r="1970" spans="1:3" x14ac:dyDescent="0.45">
      <c r="A1970" s="1">
        <v>43973</v>
      </c>
      <c r="B1970" t="s">
        <v>9</v>
      </c>
      <c r="C1970" t="s">
        <v>9</v>
      </c>
    </row>
    <row r="1971" spans="1:3" x14ac:dyDescent="0.45">
      <c r="A1971" s="1">
        <v>43974</v>
      </c>
      <c r="B1971" t="s">
        <v>9</v>
      </c>
      <c r="C1971" t="s">
        <v>9</v>
      </c>
    </row>
    <row r="1972" spans="1:3" x14ac:dyDescent="0.45">
      <c r="A1972" s="1">
        <v>43975</v>
      </c>
      <c r="B1972" t="s">
        <v>9</v>
      </c>
      <c r="C1972" t="s">
        <v>9</v>
      </c>
    </row>
    <row r="1973" spans="1:3" x14ac:dyDescent="0.45">
      <c r="A1973" s="1">
        <v>43976</v>
      </c>
      <c r="B1973" t="s">
        <v>9</v>
      </c>
      <c r="C1973" t="s">
        <v>9</v>
      </c>
    </row>
    <row r="1974" spans="1:3" x14ac:dyDescent="0.45">
      <c r="A1974" s="1">
        <v>43977</v>
      </c>
      <c r="B1974" t="s">
        <v>9</v>
      </c>
      <c r="C1974" t="s">
        <v>9</v>
      </c>
    </row>
    <row r="1975" spans="1:3" x14ac:dyDescent="0.45">
      <c r="A1975" s="1">
        <v>43978</v>
      </c>
      <c r="B1975" t="s">
        <v>10</v>
      </c>
      <c r="C1975" t="s">
        <v>9</v>
      </c>
    </row>
    <row r="1976" spans="1:3" x14ac:dyDescent="0.45">
      <c r="A1976" s="1">
        <v>43979</v>
      </c>
      <c r="B1976" t="s">
        <v>10</v>
      </c>
      <c r="C1976" t="s">
        <v>9</v>
      </c>
    </row>
    <row r="1977" spans="1:3" x14ac:dyDescent="0.45">
      <c r="A1977" s="1">
        <v>43980</v>
      </c>
      <c r="B1977" t="s">
        <v>10</v>
      </c>
      <c r="C1977" t="s">
        <v>9</v>
      </c>
    </row>
    <row r="1978" spans="1:3" x14ac:dyDescent="0.45">
      <c r="A1978" s="1">
        <v>43981</v>
      </c>
      <c r="B1978" t="s">
        <v>10</v>
      </c>
      <c r="C1978" t="s">
        <v>9</v>
      </c>
    </row>
    <row r="1979" spans="1:3" x14ac:dyDescent="0.45">
      <c r="A1979" s="1">
        <v>43982</v>
      </c>
      <c r="B1979" t="s">
        <v>10</v>
      </c>
      <c r="C1979" t="s">
        <v>9</v>
      </c>
    </row>
    <row r="1980" spans="1:3" x14ac:dyDescent="0.45">
      <c r="A1980" s="1">
        <v>43983</v>
      </c>
      <c r="B1980" t="s">
        <v>10</v>
      </c>
      <c r="C1980" t="s">
        <v>9</v>
      </c>
    </row>
    <row r="1981" spans="1:3" x14ac:dyDescent="0.45">
      <c r="A1981" s="1">
        <v>43984</v>
      </c>
      <c r="B1981" t="s">
        <v>10</v>
      </c>
      <c r="C1981" t="s">
        <v>9</v>
      </c>
    </row>
    <row r="1982" spans="1:3" x14ac:dyDescent="0.45">
      <c r="A1982" s="1">
        <v>43985</v>
      </c>
      <c r="B1982" t="s">
        <v>10</v>
      </c>
      <c r="C1982" t="s">
        <v>9</v>
      </c>
    </row>
    <row r="1983" spans="1:3" x14ac:dyDescent="0.45">
      <c r="A1983" s="1">
        <v>43986</v>
      </c>
      <c r="B1983" t="s">
        <v>10</v>
      </c>
      <c r="C1983" t="s">
        <v>9</v>
      </c>
    </row>
    <row r="1984" spans="1:3" x14ac:dyDescent="0.45">
      <c r="A1984" s="1">
        <v>43987</v>
      </c>
      <c r="B1984" t="s">
        <v>10</v>
      </c>
      <c r="C1984" t="s">
        <v>9</v>
      </c>
    </row>
    <row r="1985" spans="1:3" x14ac:dyDescent="0.45">
      <c r="A1985" s="1">
        <v>43988</v>
      </c>
      <c r="B1985" t="s">
        <v>10</v>
      </c>
      <c r="C1985" t="s">
        <v>9</v>
      </c>
    </row>
    <row r="1986" spans="1:3" x14ac:dyDescent="0.45">
      <c r="A1986" s="1">
        <v>43989</v>
      </c>
      <c r="B1986" t="s">
        <v>10</v>
      </c>
      <c r="C1986" t="s">
        <v>9</v>
      </c>
    </row>
    <row r="1987" spans="1:3" x14ac:dyDescent="0.45">
      <c r="A1987" s="1">
        <v>43990</v>
      </c>
      <c r="B1987" t="s">
        <v>10</v>
      </c>
      <c r="C1987" t="s">
        <v>10</v>
      </c>
    </row>
    <row r="1988" spans="1:3" x14ac:dyDescent="0.45">
      <c r="A1988" s="1">
        <v>43991</v>
      </c>
      <c r="B1988" t="s">
        <v>10</v>
      </c>
      <c r="C1988" t="s">
        <v>9</v>
      </c>
    </row>
    <row r="1989" spans="1:3" x14ac:dyDescent="0.45">
      <c r="A1989" s="1">
        <v>43992</v>
      </c>
      <c r="B1989" t="s">
        <v>10</v>
      </c>
      <c r="C1989" t="s">
        <v>9</v>
      </c>
    </row>
    <row r="1990" spans="1:3" x14ac:dyDescent="0.45">
      <c r="A1990" s="1">
        <v>43993</v>
      </c>
      <c r="B1990" t="s">
        <v>10</v>
      </c>
      <c r="C1990" t="s">
        <v>9</v>
      </c>
    </row>
    <row r="1991" spans="1:3" x14ac:dyDescent="0.45">
      <c r="A1991" s="1">
        <v>43994</v>
      </c>
      <c r="B1991" t="s">
        <v>10</v>
      </c>
      <c r="C1991" t="s">
        <v>9</v>
      </c>
    </row>
    <row r="1992" spans="1:3" x14ac:dyDescent="0.45">
      <c r="A1992" s="1">
        <v>43995</v>
      </c>
      <c r="B1992" t="s">
        <v>10</v>
      </c>
      <c r="C1992" t="s">
        <v>9</v>
      </c>
    </row>
    <row r="1993" spans="1:3" x14ac:dyDescent="0.45">
      <c r="A1993" s="1">
        <v>43996</v>
      </c>
      <c r="B1993" t="s">
        <v>10</v>
      </c>
      <c r="C1993" t="s">
        <v>9</v>
      </c>
    </row>
    <row r="1994" spans="1:3" x14ac:dyDescent="0.45">
      <c r="A1994" s="1">
        <v>43997</v>
      </c>
      <c r="B1994" t="s">
        <v>10</v>
      </c>
      <c r="C1994" t="s">
        <v>9</v>
      </c>
    </row>
    <row r="1995" spans="1:3" x14ac:dyDescent="0.45">
      <c r="A1995" s="1">
        <v>43998</v>
      </c>
      <c r="B1995" t="s">
        <v>10</v>
      </c>
      <c r="C1995" t="s">
        <v>9</v>
      </c>
    </row>
    <row r="1996" spans="1:3" x14ac:dyDescent="0.45">
      <c r="A1996" s="1">
        <v>43999</v>
      </c>
      <c r="B1996" t="s">
        <v>10</v>
      </c>
      <c r="C1996" t="s">
        <v>9</v>
      </c>
    </row>
    <row r="1997" spans="1:3" x14ac:dyDescent="0.45">
      <c r="A1997" s="1">
        <v>44000</v>
      </c>
      <c r="B1997" t="s">
        <v>10</v>
      </c>
      <c r="C1997" t="s">
        <v>9</v>
      </c>
    </row>
    <row r="1998" spans="1:3" x14ac:dyDescent="0.45">
      <c r="A1998" s="1">
        <v>44001</v>
      </c>
      <c r="B1998" t="s">
        <v>10</v>
      </c>
      <c r="C1998" t="s">
        <v>9</v>
      </c>
    </row>
    <row r="1999" spans="1:3" x14ac:dyDescent="0.45">
      <c r="A1999" s="1">
        <v>44002</v>
      </c>
      <c r="B1999" t="s">
        <v>10</v>
      </c>
      <c r="C1999" t="s">
        <v>9</v>
      </c>
    </row>
    <row r="2000" spans="1:3" x14ac:dyDescent="0.45">
      <c r="A2000" s="1">
        <v>44003</v>
      </c>
      <c r="B2000" t="s">
        <v>10</v>
      </c>
      <c r="C2000" t="s">
        <v>9</v>
      </c>
    </row>
    <row r="2001" spans="1:3" x14ac:dyDescent="0.45">
      <c r="A2001" s="1">
        <v>44004</v>
      </c>
      <c r="B2001" t="s">
        <v>10</v>
      </c>
      <c r="C2001" t="s">
        <v>9</v>
      </c>
    </row>
    <row r="2002" spans="1:3" x14ac:dyDescent="0.45">
      <c r="A2002" s="1">
        <v>44005</v>
      </c>
      <c r="B2002" t="s">
        <v>10</v>
      </c>
      <c r="C2002" t="s">
        <v>9</v>
      </c>
    </row>
    <row r="2003" spans="1:3" x14ac:dyDescent="0.45">
      <c r="A2003" s="1">
        <v>44006</v>
      </c>
      <c r="B2003" t="s">
        <v>10</v>
      </c>
      <c r="C2003" t="s">
        <v>9</v>
      </c>
    </row>
    <row r="2004" spans="1:3" x14ac:dyDescent="0.45">
      <c r="A2004" s="1">
        <v>44007</v>
      </c>
      <c r="B2004" t="s">
        <v>10</v>
      </c>
      <c r="C2004" t="s">
        <v>9</v>
      </c>
    </row>
    <row r="2005" spans="1:3" x14ac:dyDescent="0.45">
      <c r="A2005" s="1">
        <v>44008</v>
      </c>
      <c r="B2005" t="s">
        <v>9</v>
      </c>
      <c r="C2005" t="s">
        <v>9</v>
      </c>
    </row>
    <row r="2006" spans="1:3" x14ac:dyDescent="0.45">
      <c r="A2006" s="1">
        <v>44009</v>
      </c>
      <c r="B2006" t="s">
        <v>9</v>
      </c>
      <c r="C2006" t="s">
        <v>9</v>
      </c>
    </row>
    <row r="2007" spans="1:3" x14ac:dyDescent="0.45">
      <c r="A2007" s="1">
        <v>44010</v>
      </c>
      <c r="B2007" t="s">
        <v>9</v>
      </c>
      <c r="C2007" t="s">
        <v>9</v>
      </c>
    </row>
    <row r="2008" spans="1:3" x14ac:dyDescent="0.45">
      <c r="A2008" s="1">
        <v>44011</v>
      </c>
      <c r="B2008" t="s">
        <v>9</v>
      </c>
      <c r="C2008" t="s">
        <v>9</v>
      </c>
    </row>
    <row r="2009" spans="1:3" x14ac:dyDescent="0.45">
      <c r="A2009" s="1">
        <v>44012</v>
      </c>
      <c r="B2009" t="s">
        <v>9</v>
      </c>
      <c r="C2009" t="s">
        <v>9</v>
      </c>
    </row>
    <row r="2010" spans="1:3" x14ac:dyDescent="0.45">
      <c r="A2010" s="1">
        <v>44013</v>
      </c>
      <c r="B2010" t="s">
        <v>9</v>
      </c>
      <c r="C2010" t="s">
        <v>9</v>
      </c>
    </row>
    <row r="2011" spans="1:3" x14ac:dyDescent="0.45">
      <c r="A2011" s="1">
        <v>44014</v>
      </c>
      <c r="B2011" t="s">
        <v>9</v>
      </c>
      <c r="C2011" t="s">
        <v>9</v>
      </c>
    </row>
    <row r="2012" spans="1:3" x14ac:dyDescent="0.45">
      <c r="A2012" s="1">
        <v>44015</v>
      </c>
      <c r="B2012" t="s">
        <v>9</v>
      </c>
      <c r="C2012" t="s">
        <v>9</v>
      </c>
    </row>
    <row r="2013" spans="1:3" x14ac:dyDescent="0.45">
      <c r="A2013" s="1">
        <v>44016</v>
      </c>
      <c r="B2013" t="s">
        <v>9</v>
      </c>
      <c r="C2013" t="s">
        <v>9</v>
      </c>
    </row>
    <row r="2014" spans="1:3" x14ac:dyDescent="0.45">
      <c r="A2014" s="1">
        <v>44017</v>
      </c>
      <c r="B2014" t="s">
        <v>9</v>
      </c>
      <c r="C2014" t="s">
        <v>9</v>
      </c>
    </row>
    <row r="2015" spans="1:3" x14ac:dyDescent="0.45">
      <c r="A2015" s="1">
        <v>44018</v>
      </c>
      <c r="B2015" t="s">
        <v>9</v>
      </c>
      <c r="C2015" t="s">
        <v>9</v>
      </c>
    </row>
    <row r="2016" spans="1:3" x14ac:dyDescent="0.45">
      <c r="A2016" s="1">
        <v>44019</v>
      </c>
      <c r="B2016" t="s">
        <v>9</v>
      </c>
      <c r="C2016" t="s">
        <v>9</v>
      </c>
    </row>
    <row r="2017" spans="1:3" x14ac:dyDescent="0.45">
      <c r="A2017" s="1">
        <v>44020</v>
      </c>
      <c r="B2017" t="s">
        <v>9</v>
      </c>
      <c r="C2017" t="s">
        <v>9</v>
      </c>
    </row>
    <row r="2018" spans="1:3" x14ac:dyDescent="0.45">
      <c r="A2018" s="1">
        <v>44021</v>
      </c>
      <c r="B2018" t="s">
        <v>9</v>
      </c>
      <c r="C2018" t="s">
        <v>9</v>
      </c>
    </row>
    <row r="2019" spans="1:3" x14ac:dyDescent="0.45">
      <c r="A2019" s="1">
        <v>44022</v>
      </c>
      <c r="B2019" t="s">
        <v>9</v>
      </c>
      <c r="C2019" t="s">
        <v>9</v>
      </c>
    </row>
    <row r="2020" spans="1:3" x14ac:dyDescent="0.45">
      <c r="A2020" s="1">
        <v>44023</v>
      </c>
      <c r="B2020" t="s">
        <v>9</v>
      </c>
      <c r="C2020" t="s">
        <v>9</v>
      </c>
    </row>
    <row r="2021" spans="1:3" x14ac:dyDescent="0.45">
      <c r="A2021" s="1">
        <v>44024</v>
      </c>
      <c r="B2021" t="s">
        <v>9</v>
      </c>
      <c r="C2021" t="s">
        <v>9</v>
      </c>
    </row>
    <row r="2022" spans="1:3" x14ac:dyDescent="0.45">
      <c r="A2022" s="1">
        <v>44025</v>
      </c>
      <c r="B2022" t="s">
        <v>9</v>
      </c>
      <c r="C2022" t="s">
        <v>9</v>
      </c>
    </row>
    <row r="2023" spans="1:3" x14ac:dyDescent="0.45">
      <c r="A2023" s="1">
        <v>44026</v>
      </c>
      <c r="B2023" t="s">
        <v>10</v>
      </c>
      <c r="C2023" t="s">
        <v>9</v>
      </c>
    </row>
    <row r="2024" spans="1:3" x14ac:dyDescent="0.45">
      <c r="A2024" s="1">
        <v>44027</v>
      </c>
      <c r="B2024" t="s">
        <v>10</v>
      </c>
      <c r="C2024" t="s">
        <v>9</v>
      </c>
    </row>
    <row r="2025" spans="1:3" x14ac:dyDescent="0.45">
      <c r="A2025" s="1">
        <v>44028</v>
      </c>
      <c r="B2025" t="s">
        <v>10</v>
      </c>
      <c r="C2025" t="s">
        <v>9</v>
      </c>
    </row>
    <row r="2026" spans="1:3" x14ac:dyDescent="0.45">
      <c r="A2026" s="1">
        <v>44029</v>
      </c>
      <c r="B2026" t="s">
        <v>10</v>
      </c>
      <c r="C2026" t="s">
        <v>9</v>
      </c>
    </row>
    <row r="2027" spans="1:3" x14ac:dyDescent="0.45">
      <c r="A2027" s="1">
        <v>44030</v>
      </c>
      <c r="B2027" t="s">
        <v>10</v>
      </c>
      <c r="C2027" t="s">
        <v>9</v>
      </c>
    </row>
    <row r="2028" spans="1:3" x14ac:dyDescent="0.45">
      <c r="A2028" s="1">
        <v>44031</v>
      </c>
      <c r="B2028" t="s">
        <v>10</v>
      </c>
      <c r="C2028" t="s">
        <v>9</v>
      </c>
    </row>
    <row r="2029" spans="1:3" x14ac:dyDescent="0.45">
      <c r="A2029" s="1">
        <v>44032</v>
      </c>
      <c r="B2029" t="s">
        <v>10</v>
      </c>
      <c r="C2029" t="s">
        <v>9</v>
      </c>
    </row>
    <row r="2030" spans="1:3" x14ac:dyDescent="0.45">
      <c r="A2030" s="1">
        <v>44033</v>
      </c>
      <c r="B2030" t="s">
        <v>10</v>
      </c>
      <c r="C2030" t="s">
        <v>9</v>
      </c>
    </row>
    <row r="2031" spans="1:3" x14ac:dyDescent="0.45">
      <c r="A2031" s="1">
        <v>44034</v>
      </c>
      <c r="B2031" t="s">
        <v>10</v>
      </c>
      <c r="C2031" t="s">
        <v>9</v>
      </c>
    </row>
    <row r="2032" spans="1:3" x14ac:dyDescent="0.45">
      <c r="A2032" s="1">
        <v>44035</v>
      </c>
      <c r="B2032" t="s">
        <v>10</v>
      </c>
      <c r="C2032" t="s">
        <v>9</v>
      </c>
    </row>
    <row r="2033" spans="1:3" x14ac:dyDescent="0.45">
      <c r="A2033" s="1">
        <v>44036</v>
      </c>
      <c r="B2033" t="s">
        <v>10</v>
      </c>
      <c r="C2033" t="s">
        <v>9</v>
      </c>
    </row>
    <row r="2034" spans="1:3" x14ac:dyDescent="0.45">
      <c r="A2034" s="1">
        <v>44037</v>
      </c>
      <c r="B2034" t="s">
        <v>10</v>
      </c>
      <c r="C2034" t="s">
        <v>9</v>
      </c>
    </row>
    <row r="2035" spans="1:3" x14ac:dyDescent="0.45">
      <c r="A2035" s="1">
        <v>44038</v>
      </c>
      <c r="B2035" t="s">
        <v>10</v>
      </c>
      <c r="C2035" t="s">
        <v>9</v>
      </c>
    </row>
    <row r="2036" spans="1:3" x14ac:dyDescent="0.45">
      <c r="A2036" s="1">
        <v>44039</v>
      </c>
      <c r="B2036" t="s">
        <v>10</v>
      </c>
      <c r="C2036" t="s">
        <v>9</v>
      </c>
    </row>
    <row r="2037" spans="1:3" x14ac:dyDescent="0.45">
      <c r="A2037" s="1">
        <v>44040</v>
      </c>
      <c r="B2037" t="s">
        <v>10</v>
      </c>
      <c r="C2037" t="s">
        <v>9</v>
      </c>
    </row>
    <row r="2038" spans="1:3" x14ac:dyDescent="0.45">
      <c r="A2038" s="1">
        <v>44041</v>
      </c>
      <c r="B2038" t="s">
        <v>10</v>
      </c>
      <c r="C2038" t="s">
        <v>9</v>
      </c>
    </row>
    <row r="2039" spans="1:3" x14ac:dyDescent="0.45">
      <c r="A2039" s="1">
        <v>44042</v>
      </c>
      <c r="B2039" t="s">
        <v>10</v>
      </c>
      <c r="C2039" t="s">
        <v>9</v>
      </c>
    </row>
    <row r="2040" spans="1:3" x14ac:dyDescent="0.45">
      <c r="A2040" s="1">
        <v>44043</v>
      </c>
      <c r="B2040" t="s">
        <v>10</v>
      </c>
      <c r="C2040" t="s">
        <v>9</v>
      </c>
    </row>
    <row r="2041" spans="1:3" x14ac:dyDescent="0.45">
      <c r="A2041" s="1">
        <v>44044</v>
      </c>
      <c r="B2041" t="s">
        <v>10</v>
      </c>
      <c r="C2041" t="s">
        <v>9</v>
      </c>
    </row>
    <row r="2042" spans="1:3" x14ac:dyDescent="0.45">
      <c r="A2042" s="1">
        <v>44045</v>
      </c>
      <c r="B2042" t="s">
        <v>10</v>
      </c>
      <c r="C2042" t="s">
        <v>9</v>
      </c>
    </row>
    <row r="2043" spans="1:3" x14ac:dyDescent="0.45">
      <c r="A2043" s="1">
        <v>44046</v>
      </c>
      <c r="B2043" t="s">
        <v>10</v>
      </c>
      <c r="C2043" t="s">
        <v>9</v>
      </c>
    </row>
    <row r="2044" spans="1:3" x14ac:dyDescent="0.45">
      <c r="A2044" s="1">
        <v>44047</v>
      </c>
      <c r="B2044" t="s">
        <v>9</v>
      </c>
      <c r="C2044" t="s">
        <v>9</v>
      </c>
    </row>
    <row r="2045" spans="1:3" x14ac:dyDescent="0.45">
      <c r="A2045" s="1">
        <v>44048</v>
      </c>
      <c r="B2045" t="s">
        <v>9</v>
      </c>
      <c r="C2045" t="s">
        <v>9</v>
      </c>
    </row>
    <row r="2046" spans="1:3" x14ac:dyDescent="0.45">
      <c r="A2046" s="1">
        <v>44049</v>
      </c>
      <c r="B2046" t="s">
        <v>9</v>
      </c>
      <c r="C2046" t="s">
        <v>9</v>
      </c>
    </row>
    <row r="2047" spans="1:3" x14ac:dyDescent="0.45">
      <c r="A2047" s="1">
        <v>44050</v>
      </c>
      <c r="B2047" t="s">
        <v>9</v>
      </c>
      <c r="C2047" t="s">
        <v>9</v>
      </c>
    </row>
    <row r="2048" spans="1:3" x14ac:dyDescent="0.45">
      <c r="A2048" s="1">
        <v>44051</v>
      </c>
      <c r="B2048" t="s">
        <v>9</v>
      </c>
      <c r="C2048" t="s">
        <v>9</v>
      </c>
    </row>
    <row r="2049" spans="1:3" x14ac:dyDescent="0.45">
      <c r="A2049" s="1">
        <v>44052</v>
      </c>
      <c r="B2049" t="s">
        <v>9</v>
      </c>
      <c r="C2049" t="s">
        <v>9</v>
      </c>
    </row>
    <row r="2050" spans="1:3" x14ac:dyDescent="0.45">
      <c r="A2050" s="1">
        <v>44053</v>
      </c>
      <c r="B2050" t="s">
        <v>9</v>
      </c>
      <c r="C2050" t="s">
        <v>9</v>
      </c>
    </row>
    <row r="2051" spans="1:3" x14ac:dyDescent="0.45">
      <c r="A2051" s="1">
        <v>44054</v>
      </c>
      <c r="B2051" t="s">
        <v>9</v>
      </c>
      <c r="C2051" t="s">
        <v>9</v>
      </c>
    </row>
    <row r="2052" spans="1:3" x14ac:dyDescent="0.45">
      <c r="A2052" s="1">
        <v>44055</v>
      </c>
      <c r="B2052" t="s">
        <v>9</v>
      </c>
      <c r="C2052" t="s">
        <v>9</v>
      </c>
    </row>
    <row r="2053" spans="1:3" x14ac:dyDescent="0.45">
      <c r="A2053" s="1">
        <v>44056</v>
      </c>
      <c r="B2053" t="s">
        <v>9</v>
      </c>
      <c r="C2053" t="s">
        <v>9</v>
      </c>
    </row>
    <row r="2054" spans="1:3" x14ac:dyDescent="0.45">
      <c r="A2054" s="1">
        <v>44057</v>
      </c>
      <c r="B2054" t="s">
        <v>9</v>
      </c>
      <c r="C2054" t="s">
        <v>9</v>
      </c>
    </row>
    <row r="2055" spans="1:3" x14ac:dyDescent="0.45">
      <c r="A2055" s="1">
        <v>44058</v>
      </c>
      <c r="B2055" t="s">
        <v>9</v>
      </c>
      <c r="C2055" t="s">
        <v>9</v>
      </c>
    </row>
    <row r="2056" spans="1:3" x14ac:dyDescent="0.45">
      <c r="A2056" s="1">
        <v>44059</v>
      </c>
      <c r="B2056" t="s">
        <v>9</v>
      </c>
      <c r="C2056" t="s">
        <v>9</v>
      </c>
    </row>
    <row r="2057" spans="1:3" x14ac:dyDescent="0.45">
      <c r="A2057" s="1">
        <v>44060</v>
      </c>
      <c r="B2057" t="s">
        <v>9</v>
      </c>
      <c r="C2057" t="s">
        <v>9</v>
      </c>
    </row>
    <row r="2058" spans="1:3" x14ac:dyDescent="0.45">
      <c r="A2058" s="1">
        <v>44061</v>
      </c>
      <c r="B2058" t="s">
        <v>9</v>
      </c>
      <c r="C2058" t="s">
        <v>9</v>
      </c>
    </row>
    <row r="2059" spans="1:3" x14ac:dyDescent="0.45">
      <c r="A2059" s="1">
        <v>44062</v>
      </c>
      <c r="B2059" t="s">
        <v>9</v>
      </c>
      <c r="C2059" t="s">
        <v>9</v>
      </c>
    </row>
    <row r="2060" spans="1:3" x14ac:dyDescent="0.45">
      <c r="A2060" s="1">
        <v>44063</v>
      </c>
      <c r="B2060" t="s">
        <v>9</v>
      </c>
      <c r="C2060" t="s">
        <v>9</v>
      </c>
    </row>
    <row r="2061" spans="1:3" x14ac:dyDescent="0.45">
      <c r="A2061" s="1">
        <v>44064</v>
      </c>
      <c r="B2061" t="s">
        <v>9</v>
      </c>
      <c r="C2061" t="s">
        <v>9</v>
      </c>
    </row>
    <row r="2062" spans="1:3" x14ac:dyDescent="0.45">
      <c r="A2062" s="1">
        <v>44065</v>
      </c>
      <c r="B2062" t="s">
        <v>9</v>
      </c>
      <c r="C2062" t="s">
        <v>9</v>
      </c>
    </row>
    <row r="2063" spans="1:3" x14ac:dyDescent="0.45">
      <c r="A2063" s="1">
        <v>44066</v>
      </c>
      <c r="B2063" t="s">
        <v>9</v>
      </c>
      <c r="C2063" t="s">
        <v>9</v>
      </c>
    </row>
    <row r="2064" spans="1:3" x14ac:dyDescent="0.45">
      <c r="A2064" s="1">
        <v>44067</v>
      </c>
      <c r="B2064" t="s">
        <v>9</v>
      </c>
      <c r="C2064" t="s">
        <v>9</v>
      </c>
    </row>
    <row r="2065" spans="1:3" x14ac:dyDescent="0.45">
      <c r="A2065" s="1">
        <v>44068</v>
      </c>
      <c r="B2065" t="s">
        <v>9</v>
      </c>
      <c r="C2065" t="s">
        <v>9</v>
      </c>
    </row>
    <row r="2066" spans="1:3" x14ac:dyDescent="0.45">
      <c r="A2066" s="1">
        <v>44069</v>
      </c>
      <c r="B2066" t="s">
        <v>9</v>
      </c>
      <c r="C2066" t="s">
        <v>9</v>
      </c>
    </row>
    <row r="2067" spans="1:3" x14ac:dyDescent="0.45">
      <c r="A2067" s="1">
        <v>44070</v>
      </c>
      <c r="B2067" t="s">
        <v>9</v>
      </c>
      <c r="C2067" t="s">
        <v>9</v>
      </c>
    </row>
    <row r="2068" spans="1:3" x14ac:dyDescent="0.45">
      <c r="A2068" s="1">
        <v>44071</v>
      </c>
      <c r="B2068" t="s">
        <v>9</v>
      </c>
      <c r="C2068" t="s">
        <v>9</v>
      </c>
    </row>
    <row r="2069" spans="1:3" x14ac:dyDescent="0.45">
      <c r="A2069" s="1">
        <v>44072</v>
      </c>
      <c r="B2069" t="s">
        <v>9</v>
      </c>
      <c r="C2069" t="s">
        <v>9</v>
      </c>
    </row>
    <row r="2070" spans="1:3" x14ac:dyDescent="0.45">
      <c r="A2070" s="1">
        <v>44073</v>
      </c>
      <c r="B2070" t="s">
        <v>9</v>
      </c>
      <c r="C2070" t="s">
        <v>9</v>
      </c>
    </row>
    <row r="2071" spans="1:3" x14ac:dyDescent="0.45">
      <c r="A2071" s="1">
        <v>44074</v>
      </c>
      <c r="B2071" t="s">
        <v>9</v>
      </c>
      <c r="C2071" t="s">
        <v>9</v>
      </c>
    </row>
    <row r="2072" spans="1:3" x14ac:dyDescent="0.45">
      <c r="A2072" s="1">
        <v>44075</v>
      </c>
      <c r="B2072" t="s">
        <v>9</v>
      </c>
      <c r="C2072" t="s">
        <v>9</v>
      </c>
    </row>
    <row r="2073" spans="1:3" x14ac:dyDescent="0.45">
      <c r="A2073" s="1">
        <v>44076</v>
      </c>
      <c r="B2073" t="s">
        <v>9</v>
      </c>
      <c r="C2073" t="s">
        <v>9</v>
      </c>
    </row>
    <row r="2074" spans="1:3" x14ac:dyDescent="0.45">
      <c r="A2074" s="1">
        <v>44077</v>
      </c>
      <c r="B2074" t="s">
        <v>9</v>
      </c>
      <c r="C2074" t="s">
        <v>9</v>
      </c>
    </row>
    <row r="2075" spans="1:3" x14ac:dyDescent="0.45">
      <c r="A2075" s="1">
        <v>44078</v>
      </c>
      <c r="B2075" t="s">
        <v>9</v>
      </c>
      <c r="C2075" t="s">
        <v>9</v>
      </c>
    </row>
    <row r="2076" spans="1:3" x14ac:dyDescent="0.45">
      <c r="A2076" s="1">
        <v>44079</v>
      </c>
      <c r="B2076" t="s">
        <v>9</v>
      </c>
      <c r="C2076" t="s">
        <v>9</v>
      </c>
    </row>
    <row r="2077" spans="1:3" x14ac:dyDescent="0.45">
      <c r="A2077" s="1">
        <v>44080</v>
      </c>
      <c r="B2077" t="s">
        <v>9</v>
      </c>
      <c r="C2077" t="s">
        <v>9</v>
      </c>
    </row>
    <row r="2078" spans="1:3" x14ac:dyDescent="0.45">
      <c r="A2078" s="1">
        <v>44081</v>
      </c>
      <c r="B2078" t="s">
        <v>9</v>
      </c>
      <c r="C2078" t="s">
        <v>9</v>
      </c>
    </row>
    <row r="2079" spans="1:3" x14ac:dyDescent="0.45">
      <c r="A2079" s="1">
        <v>44082</v>
      </c>
      <c r="B2079" t="s">
        <v>9</v>
      </c>
      <c r="C2079" t="s">
        <v>9</v>
      </c>
    </row>
    <row r="2080" spans="1:3" x14ac:dyDescent="0.45">
      <c r="A2080" s="1">
        <v>44083</v>
      </c>
      <c r="B2080" t="s">
        <v>9</v>
      </c>
      <c r="C2080" t="s">
        <v>9</v>
      </c>
    </row>
    <row r="2081" spans="1:3" x14ac:dyDescent="0.45">
      <c r="A2081" s="1">
        <v>44084</v>
      </c>
      <c r="B2081" t="s">
        <v>9</v>
      </c>
      <c r="C2081" t="s">
        <v>9</v>
      </c>
    </row>
    <row r="2082" spans="1:3" x14ac:dyDescent="0.45">
      <c r="A2082" s="1">
        <v>44085</v>
      </c>
      <c r="B2082" t="s">
        <v>9</v>
      </c>
      <c r="C2082" t="s">
        <v>9</v>
      </c>
    </row>
    <row r="2083" spans="1:3" x14ac:dyDescent="0.45">
      <c r="A2083" s="1">
        <v>44086</v>
      </c>
      <c r="B2083" t="s">
        <v>9</v>
      </c>
      <c r="C2083" t="s">
        <v>9</v>
      </c>
    </row>
    <row r="2084" spans="1:3" x14ac:dyDescent="0.45">
      <c r="A2084" s="1">
        <v>44087</v>
      </c>
      <c r="B2084" t="s">
        <v>9</v>
      </c>
      <c r="C2084" t="s">
        <v>9</v>
      </c>
    </row>
    <row r="2085" spans="1:3" x14ac:dyDescent="0.45">
      <c r="A2085" s="1">
        <v>44088</v>
      </c>
      <c r="B2085" t="s">
        <v>9</v>
      </c>
      <c r="C2085" t="s">
        <v>9</v>
      </c>
    </row>
    <row r="2086" spans="1:3" x14ac:dyDescent="0.45">
      <c r="A2086" s="1">
        <v>44089</v>
      </c>
      <c r="B2086" t="s">
        <v>9</v>
      </c>
      <c r="C2086" t="s">
        <v>9</v>
      </c>
    </row>
    <row r="2087" spans="1:3" x14ac:dyDescent="0.45">
      <c r="A2087" s="1">
        <v>44090</v>
      </c>
      <c r="B2087" t="s">
        <v>9</v>
      </c>
      <c r="C2087" t="s">
        <v>9</v>
      </c>
    </row>
    <row r="2088" spans="1:3" x14ac:dyDescent="0.45">
      <c r="A2088" s="1">
        <v>44091</v>
      </c>
      <c r="B2088" t="s">
        <v>9</v>
      </c>
      <c r="C2088" t="s">
        <v>9</v>
      </c>
    </row>
    <row r="2089" spans="1:3" x14ac:dyDescent="0.45">
      <c r="A2089" s="1">
        <v>44092</v>
      </c>
      <c r="B2089" t="s">
        <v>9</v>
      </c>
      <c r="C2089" t="s">
        <v>9</v>
      </c>
    </row>
    <row r="2090" spans="1:3" x14ac:dyDescent="0.45">
      <c r="A2090" s="1">
        <v>44093</v>
      </c>
      <c r="B2090" t="s">
        <v>9</v>
      </c>
      <c r="C2090" t="s">
        <v>9</v>
      </c>
    </row>
    <row r="2091" spans="1:3" x14ac:dyDescent="0.45">
      <c r="A2091" s="1">
        <v>44094</v>
      </c>
      <c r="B2091" t="s">
        <v>9</v>
      </c>
      <c r="C2091" t="s">
        <v>9</v>
      </c>
    </row>
    <row r="2092" spans="1:3" x14ac:dyDescent="0.45">
      <c r="A2092" s="1">
        <v>44095</v>
      </c>
      <c r="B2092" t="s">
        <v>9</v>
      </c>
      <c r="C2092" t="s">
        <v>9</v>
      </c>
    </row>
    <row r="2093" spans="1:3" x14ac:dyDescent="0.45">
      <c r="A2093" s="1">
        <v>44096</v>
      </c>
      <c r="B2093" t="s">
        <v>9</v>
      </c>
      <c r="C2093" t="s">
        <v>9</v>
      </c>
    </row>
    <row r="2094" spans="1:3" x14ac:dyDescent="0.45">
      <c r="A2094" s="1">
        <v>44097</v>
      </c>
      <c r="B2094" t="s">
        <v>9</v>
      </c>
      <c r="C2094" t="s">
        <v>9</v>
      </c>
    </row>
    <row r="2095" spans="1:3" x14ac:dyDescent="0.45">
      <c r="A2095" s="1">
        <v>44098</v>
      </c>
      <c r="B2095" t="s">
        <v>9</v>
      </c>
      <c r="C2095" t="s">
        <v>9</v>
      </c>
    </row>
    <row r="2096" spans="1:3" x14ac:dyDescent="0.45">
      <c r="A2096" s="1">
        <v>44099</v>
      </c>
      <c r="B2096" t="s">
        <v>9</v>
      </c>
      <c r="C2096" t="s">
        <v>9</v>
      </c>
    </row>
    <row r="2097" spans="1:3" x14ac:dyDescent="0.45">
      <c r="A2097" s="1">
        <v>44100</v>
      </c>
      <c r="B2097" t="s">
        <v>9</v>
      </c>
      <c r="C2097" t="s">
        <v>9</v>
      </c>
    </row>
    <row r="2098" spans="1:3" x14ac:dyDescent="0.45">
      <c r="A2098" s="1">
        <v>44101</v>
      </c>
      <c r="B2098" t="s">
        <v>9</v>
      </c>
      <c r="C2098" t="s">
        <v>9</v>
      </c>
    </row>
    <row r="2099" spans="1:3" x14ac:dyDescent="0.45">
      <c r="A2099" s="1">
        <v>44102</v>
      </c>
      <c r="B2099" t="s">
        <v>9</v>
      </c>
      <c r="C2099" t="s">
        <v>9</v>
      </c>
    </row>
    <row r="2100" spans="1:3" x14ac:dyDescent="0.45">
      <c r="A2100" s="1">
        <v>44103</v>
      </c>
      <c r="B2100" t="s">
        <v>9</v>
      </c>
      <c r="C2100" t="s">
        <v>9</v>
      </c>
    </row>
    <row r="2101" spans="1:3" x14ac:dyDescent="0.45">
      <c r="A2101" s="1">
        <v>44104</v>
      </c>
      <c r="B2101" t="s">
        <v>9</v>
      </c>
      <c r="C2101" t="s">
        <v>9</v>
      </c>
    </row>
    <row r="2102" spans="1:3" x14ac:dyDescent="0.45">
      <c r="A2102" s="1">
        <v>44105</v>
      </c>
      <c r="B2102" t="s">
        <v>9</v>
      </c>
      <c r="C2102" t="s">
        <v>9</v>
      </c>
    </row>
    <row r="2103" spans="1:3" x14ac:dyDescent="0.45">
      <c r="A2103" s="1">
        <v>44106</v>
      </c>
      <c r="B2103" t="s">
        <v>9</v>
      </c>
      <c r="C2103" t="s">
        <v>9</v>
      </c>
    </row>
    <row r="2104" spans="1:3" x14ac:dyDescent="0.45">
      <c r="A2104" s="1">
        <v>44107</v>
      </c>
      <c r="B2104" t="s">
        <v>9</v>
      </c>
      <c r="C2104" t="s">
        <v>9</v>
      </c>
    </row>
    <row r="2105" spans="1:3" x14ac:dyDescent="0.45">
      <c r="A2105" s="1">
        <v>44108</v>
      </c>
      <c r="B2105" t="s">
        <v>9</v>
      </c>
      <c r="C2105" t="s">
        <v>9</v>
      </c>
    </row>
    <row r="2106" spans="1:3" x14ac:dyDescent="0.45">
      <c r="A2106" s="1">
        <v>44109</v>
      </c>
      <c r="B2106" t="s">
        <v>9</v>
      </c>
      <c r="C2106" t="s">
        <v>9</v>
      </c>
    </row>
    <row r="2107" spans="1:3" x14ac:dyDescent="0.45">
      <c r="A2107" s="1">
        <v>44110</v>
      </c>
      <c r="B2107" t="s">
        <v>9</v>
      </c>
      <c r="C2107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EnergyDemand</vt:lpstr>
      <vt:lpstr>Holidays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Sho</cp:lastModifiedBy>
  <dcterms:created xsi:type="dcterms:W3CDTF">2022-11-05T11:43:38Z</dcterms:created>
  <dcterms:modified xsi:type="dcterms:W3CDTF">2022-11-05T13:21:27Z</dcterms:modified>
</cp:coreProperties>
</file>